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5.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xml"/>
  <Override PartName="/xl/slicers/slicer1.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b3249d99987eb0bf/ドキュメント/New folder/"/>
    </mc:Choice>
  </mc:AlternateContent>
  <xr:revisionPtr revIDLastSave="0" documentId="14_{6EDD7720-AB3A-4BDC-ADA1-7A81A24796A7}" xr6:coauthVersionLast="47" xr6:coauthVersionMax="47" xr10:uidLastSave="{00000000-0000-0000-0000-000000000000}"/>
  <bookViews>
    <workbookView xWindow="-110" yWindow="-110" windowWidth="19420" windowHeight="10300" firstSheet="12" activeTab="15" xr2:uid="{78DCFA8C-31B3-46B7-BB8C-76BEE8FDD5EC}"/>
  </bookViews>
  <sheets>
    <sheet name="inventory datas" sheetId="7" r:id="rId1"/>
    <sheet name="TOTAL SALES (ytd)mtd,qtd" sheetId="60" r:id="rId2"/>
    <sheet name="2store wise sales" sheetId="10" r:id="rId3"/>
    <sheet name="10region wise sales" sheetId="21" r:id="rId4"/>
    <sheet name="3sales growth" sheetId="22" r:id="rId5"/>
    <sheet name="4daily sales trend" sheetId="23" r:id="rId6"/>
    <sheet name="5brand wise sales" sheetId="24" r:id="rId7"/>
    <sheet name="6Gross profit" sheetId="53" r:id="rId8"/>
    <sheet name="11 total profit region" sheetId="48" r:id="rId9"/>
    <sheet name="11 profit margin" sheetId="57" r:id="rId10"/>
    <sheet name="11uniique order region" sheetId="58" r:id="rId11"/>
    <sheet name="7product in inventory" sheetId="26" r:id="rId12"/>
    <sheet name="Out of Stock 8" sheetId="49" r:id="rId13"/>
    <sheet name="9inventory value" sheetId="44" r:id="rId14"/>
    <sheet name="12 total profit by region" sheetId="41" r:id="rId15"/>
    <sheet name="FINAL DASHBOARD" sheetId="51" r:id="rId16"/>
  </sheets>
  <definedNames>
    <definedName name="_xlcn.WorksheetConnection_projectdata.xlsxsheet9" hidden="1">sheet9[]</definedName>
    <definedName name="ExternalData_6" localSheetId="0" hidden="1">'inventory datas'!$A$1:$Q$111</definedName>
    <definedName name="Slicer_Months__Date">#N/A</definedName>
    <definedName name="Slicer_Quarters__Date">#N/A</definedName>
    <definedName name="Slicer_sheet3.Cust_Region">#N/A</definedName>
    <definedName name="Slicer_sheet4.Store_Name">#N/A</definedName>
    <definedName name="Slicer_sheet4.Store_Region">#N/A</definedName>
    <definedName name="Slicer_Years__Date">#N/A</definedName>
  </definedNames>
  <calcPr calcId="191029"/>
  <pivotCaches>
    <pivotCache cacheId="5" r:id="rId17"/>
    <pivotCache cacheId="6" r:id="rId18"/>
    <pivotCache cacheId="7" r:id="rId19"/>
    <pivotCache cacheId="8" r:id="rId20"/>
    <pivotCache cacheId="9" r:id="rId21"/>
  </pivotCaches>
  <fileRecoveryPr repairLoad="1"/>
  <extLst>
    <ext xmlns:x14="http://schemas.microsoft.com/office/spreadsheetml/2009/9/main" uri="{BBE1A952-AA13-448e-AADC-164F8A28A991}">
      <x14:slicerCaches>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9" name="sheet9" connection="WorksheetConnection_project data.xlsx!sheet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 i="7" l="1"/>
  <c r="W3" i="7"/>
  <c r="W4" i="7"/>
  <c r="W5" i="7"/>
  <c r="W6" i="7"/>
  <c r="W7" i="7"/>
  <c r="W8" i="7"/>
  <c r="W9" i="7"/>
  <c r="W10" i="7"/>
  <c r="W11" i="7"/>
  <c r="W12" i="7"/>
  <c r="W13" i="7"/>
  <c r="W14" i="7"/>
  <c r="W15" i="7"/>
  <c r="W16" i="7"/>
  <c r="W17" i="7"/>
  <c r="W18" i="7"/>
  <c r="W19" i="7"/>
  <c r="W20" i="7"/>
  <c r="W21" i="7"/>
  <c r="W22" i="7"/>
  <c r="W23" i="7"/>
  <c r="W24" i="7"/>
  <c r="W25" i="7"/>
  <c r="W26" i="7"/>
  <c r="W27" i="7"/>
  <c r="W28" i="7"/>
  <c r="W29" i="7"/>
  <c r="W30" i="7"/>
  <c r="W31" i="7"/>
  <c r="W32" i="7"/>
  <c r="W33" i="7"/>
  <c r="W34" i="7"/>
  <c r="W35" i="7"/>
  <c r="W36" i="7"/>
  <c r="W37" i="7"/>
  <c r="W38" i="7"/>
  <c r="W39" i="7"/>
  <c r="W40" i="7"/>
  <c r="W41" i="7"/>
  <c r="W42" i="7"/>
  <c r="W43" i="7"/>
  <c r="W44" i="7"/>
  <c r="W45" i="7"/>
  <c r="W46" i="7"/>
  <c r="W47" i="7"/>
  <c r="W48" i="7"/>
  <c r="W49" i="7"/>
  <c r="W50" i="7"/>
  <c r="W51" i="7"/>
  <c r="W52" i="7"/>
  <c r="W53" i="7"/>
  <c r="W54" i="7"/>
  <c r="W55" i="7"/>
  <c r="W56" i="7"/>
  <c r="W57" i="7"/>
  <c r="W58" i="7"/>
  <c r="W59" i="7"/>
  <c r="W60" i="7"/>
  <c r="W61" i="7"/>
  <c r="W62" i="7"/>
  <c r="W63" i="7"/>
  <c r="W64" i="7"/>
  <c r="W65" i="7"/>
  <c r="W66" i="7"/>
  <c r="W67" i="7"/>
  <c r="W68" i="7"/>
  <c r="W69" i="7"/>
  <c r="W70" i="7"/>
  <c r="W71" i="7"/>
  <c r="W72" i="7"/>
  <c r="W73" i="7"/>
  <c r="W74" i="7"/>
  <c r="W75" i="7"/>
  <c r="W76" i="7"/>
  <c r="W77" i="7"/>
  <c r="W78" i="7"/>
  <c r="W79" i="7"/>
  <c r="W80" i="7"/>
  <c r="W81" i="7"/>
  <c r="W82" i="7"/>
  <c r="W83" i="7"/>
  <c r="W84" i="7"/>
  <c r="W85" i="7"/>
  <c r="W86" i="7"/>
  <c r="W87" i="7"/>
  <c r="W88" i="7"/>
  <c r="W89" i="7"/>
  <c r="W90" i="7"/>
  <c r="W91" i="7"/>
  <c r="W92" i="7"/>
  <c r="W93" i="7"/>
  <c r="W94" i="7"/>
  <c r="W95" i="7"/>
  <c r="W96" i="7"/>
  <c r="W97" i="7"/>
  <c r="W98" i="7"/>
  <c r="W99" i="7"/>
  <c r="W100" i="7"/>
  <c r="W101" i="7"/>
  <c r="W102" i="7"/>
  <c r="W103" i="7"/>
  <c r="W104" i="7"/>
  <c r="W105" i="7"/>
  <c r="W106" i="7"/>
  <c r="W107" i="7"/>
  <c r="W108" i="7"/>
  <c r="W109" i="7"/>
  <c r="W110" i="7"/>
  <c r="W111" i="7"/>
  <c r="V2" i="7"/>
  <c r="V3" i="7"/>
  <c r="V4" i="7"/>
  <c r="V5" i="7"/>
  <c r="V6" i="7"/>
  <c r="V7" i="7"/>
  <c r="V8" i="7"/>
  <c r="V9" i="7"/>
  <c r="V10" i="7"/>
  <c r="V11" i="7"/>
  <c r="V12" i="7"/>
  <c r="V13" i="7"/>
  <c r="V14" i="7"/>
  <c r="V15" i="7"/>
  <c r="V16" i="7"/>
  <c r="V17" i="7"/>
  <c r="V18" i="7"/>
  <c r="V19" i="7"/>
  <c r="V20" i="7"/>
  <c r="V21" i="7"/>
  <c r="V22" i="7"/>
  <c r="V23" i="7"/>
  <c r="V24" i="7"/>
  <c r="V25" i="7"/>
  <c r="V26" i="7"/>
  <c r="V27" i="7"/>
  <c r="V28" i="7"/>
  <c r="V29" i="7"/>
  <c r="V30" i="7"/>
  <c r="V31" i="7"/>
  <c r="V32" i="7"/>
  <c r="V33" i="7"/>
  <c r="V34" i="7"/>
  <c r="V35" i="7"/>
  <c r="V36" i="7"/>
  <c r="V37" i="7"/>
  <c r="V38" i="7"/>
  <c r="V39" i="7"/>
  <c r="V40" i="7"/>
  <c r="V41" i="7"/>
  <c r="V42" i="7"/>
  <c r="V43" i="7"/>
  <c r="V44" i="7"/>
  <c r="V45" i="7"/>
  <c r="V46" i="7"/>
  <c r="V47" i="7"/>
  <c r="V48" i="7"/>
  <c r="V49" i="7"/>
  <c r="V50" i="7"/>
  <c r="V51" i="7"/>
  <c r="V52" i="7"/>
  <c r="V53" i="7"/>
  <c r="V54" i="7"/>
  <c r="V55" i="7"/>
  <c r="V56" i="7"/>
  <c r="V57" i="7"/>
  <c r="V58" i="7"/>
  <c r="V59" i="7"/>
  <c r="V60" i="7"/>
  <c r="V61" i="7"/>
  <c r="V62" i="7"/>
  <c r="V63" i="7"/>
  <c r="V64" i="7"/>
  <c r="V65" i="7"/>
  <c r="V66" i="7"/>
  <c r="V67" i="7"/>
  <c r="V68" i="7"/>
  <c r="V69" i="7"/>
  <c r="V70" i="7"/>
  <c r="V71" i="7"/>
  <c r="V72" i="7"/>
  <c r="V73" i="7"/>
  <c r="V74" i="7"/>
  <c r="V75" i="7"/>
  <c r="V76" i="7"/>
  <c r="V77" i="7"/>
  <c r="V78" i="7"/>
  <c r="V79" i="7"/>
  <c r="V80" i="7"/>
  <c r="V81" i="7"/>
  <c r="V82" i="7"/>
  <c r="V83" i="7"/>
  <c r="V84" i="7"/>
  <c r="V85" i="7"/>
  <c r="V86" i="7"/>
  <c r="V87" i="7"/>
  <c r="V88" i="7"/>
  <c r="V89" i="7"/>
  <c r="V90" i="7"/>
  <c r="V91" i="7"/>
  <c r="V92" i="7"/>
  <c r="V93" i="7"/>
  <c r="V94" i="7"/>
  <c r="V95" i="7"/>
  <c r="V96" i="7"/>
  <c r="V97" i="7"/>
  <c r="V98" i="7"/>
  <c r="V99" i="7"/>
  <c r="V100" i="7"/>
  <c r="V101" i="7"/>
  <c r="V102" i="7"/>
  <c r="V103" i="7"/>
  <c r="V104" i="7"/>
  <c r="V105" i="7"/>
  <c r="V106" i="7"/>
  <c r="V107" i="7"/>
  <c r="V108" i="7"/>
  <c r="V109" i="7"/>
  <c r="V110" i="7"/>
  <c r="V111" i="7"/>
  <c r="T2" i="7"/>
  <c r="T3" i="7"/>
  <c r="T4" i="7"/>
  <c r="T5" i="7"/>
  <c r="T6" i="7"/>
  <c r="T7" i="7"/>
  <c r="T8" i="7"/>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T44" i="7"/>
  <c r="T45" i="7"/>
  <c r="T46" i="7"/>
  <c r="T47" i="7"/>
  <c r="T48" i="7"/>
  <c r="T49" i="7"/>
  <c r="T50" i="7"/>
  <c r="T51" i="7"/>
  <c r="T52" i="7"/>
  <c r="T53" i="7"/>
  <c r="T54" i="7"/>
  <c r="T55" i="7"/>
  <c r="T56" i="7"/>
  <c r="T57" i="7"/>
  <c r="T58" i="7"/>
  <c r="T59" i="7"/>
  <c r="T60" i="7"/>
  <c r="T61" i="7"/>
  <c r="T62" i="7"/>
  <c r="T63" i="7"/>
  <c r="T64" i="7"/>
  <c r="T65" i="7"/>
  <c r="T66" i="7"/>
  <c r="T67" i="7"/>
  <c r="T68" i="7"/>
  <c r="T69" i="7"/>
  <c r="T70" i="7"/>
  <c r="T71" i="7"/>
  <c r="T72" i="7"/>
  <c r="T73" i="7"/>
  <c r="T74" i="7"/>
  <c r="T75" i="7"/>
  <c r="T76" i="7"/>
  <c r="T77" i="7"/>
  <c r="T78" i="7"/>
  <c r="T79" i="7"/>
  <c r="T80" i="7"/>
  <c r="T81" i="7"/>
  <c r="T82" i="7"/>
  <c r="T83" i="7"/>
  <c r="T84" i="7"/>
  <c r="T85" i="7"/>
  <c r="T86" i="7"/>
  <c r="T87" i="7"/>
  <c r="T88" i="7"/>
  <c r="T89" i="7"/>
  <c r="T90" i="7"/>
  <c r="T91" i="7"/>
  <c r="T92" i="7"/>
  <c r="T93" i="7"/>
  <c r="T94" i="7"/>
  <c r="T95" i="7"/>
  <c r="T96" i="7"/>
  <c r="T97" i="7"/>
  <c r="T98" i="7"/>
  <c r="T99" i="7"/>
  <c r="T100" i="7"/>
  <c r="T101" i="7"/>
  <c r="T102" i="7"/>
  <c r="T103" i="7"/>
  <c r="T104" i="7"/>
  <c r="T105" i="7"/>
  <c r="T106" i="7"/>
  <c r="T107" i="7"/>
  <c r="T108" i="7"/>
  <c r="T109" i="7"/>
  <c r="T110" i="7"/>
  <c r="T111" i="7"/>
  <c r="S2" i="7"/>
  <c r="S3" i="7"/>
  <c r="S4" i="7"/>
  <c r="S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R2" i="7"/>
  <c r="R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565C54-4053-4C22-816E-6474190AB290}"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88E3F3E2-A3F1-4506-BEC1-EDD2BB46046E}" keepAlive="1" name="Query - sheet3" description="Connection to the 'sheet3' query in the workbook." type="5" refreshedVersion="8" background="1" saveData="1">
    <dbPr connection="Provider=Microsoft.Mashup.OleDb.1;Data Source=$Workbook$;Location=sheet3;Extended Properties=&quot;&quot;" command="SELECT * FROM [sheet3]"/>
  </connection>
  <connection id="3" xr16:uid="{826CDF27-B4BB-41F6-B8BA-69990258BEDC}" keepAlive="1" name="Query - sheet4" description="Connection to the 'sheet4' query in the workbook." type="5" refreshedVersion="8" background="1" saveData="1">
    <dbPr connection="Provider=Microsoft.Mashup.OleDb.1;Data Source=$Workbook$;Location=sheet4;Extended Properties=&quot;&quot;" command="SELECT * FROM [sheet4]"/>
  </connection>
  <connection id="4" xr16:uid="{FF96452D-3534-4652-AA99-ABA52C6199E7}" keepAlive="1" name="Query - sheet6" description="Connection to the 'sheet6' query in the workbook." type="5" refreshedVersion="8" background="1" saveData="1">
    <dbPr connection="Provider=Microsoft.Mashup.OleDb.1;Data Source=$Workbook$;Location=sheet6;Extended Properties=&quot;&quot;" command="SELECT * FROM [sheet6]"/>
  </connection>
  <connection id="5" xr16:uid="{2631A180-7D4A-4F3D-BFB9-91C8D896AF3F}" keepAlive="1" name="Query - sheet8" description="Connection to the 'sheet8' query in the workbook." type="5" refreshedVersion="8" background="1" saveData="1">
    <dbPr connection="Provider=Microsoft.Mashup.OleDb.1;Data Source=$Workbook$;Location=sheet8;Extended Properties=&quot;&quot;" command="SELECT * FROM [sheet8]"/>
  </connection>
  <connection id="6" xr16:uid="{0E58F9B8-A859-4A78-9E62-E542A3FC6CB7}" keepAlive="1" name="Query - sheet8 (2)" description="Connection to the 'sheet8 (2)' query in the workbook." type="5" refreshedVersion="8" background="1" saveData="1">
    <dbPr connection="Provider=Microsoft.Mashup.OleDb.1;Data Source=$Workbook$;Location=&quot;sheet8 (2)&quot;;Extended Properties=&quot;&quot;" command="SELECT * FROM [sheet8 (2)]"/>
  </connection>
  <connection id="7" xr16:uid="{0C3C7274-944B-4928-A196-2FF46479CE68}" keepAlive="1" name="Query - sheet9" description="Connection to the 'sheet9' query in the workbook." type="5" refreshedVersion="8" background="1" saveData="1">
    <dbPr connection="Provider=Microsoft.Mashup.OleDb.1;Data Source=$Workbook$;Location=sheet9;Extended Properties=&quot;&quot;" command="SELECT * FROM [sheet9]"/>
  </connection>
  <connection id="8" xr16:uid="{AD03499A-E443-423F-BDB8-2FCB69B4221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2F4B3097-63B8-4080-916C-6FD9424ED293}" name="WorksheetConnection_project data.xlsx!sheet9" type="102" refreshedVersion="8" minRefreshableVersion="5">
    <extLst>
      <ext xmlns:x15="http://schemas.microsoft.com/office/spreadsheetml/2010/11/main" uri="{DE250136-89BD-433C-8126-D09CA5730AF9}">
        <x15:connection id="sheet9" autoDelete="1">
          <x15:rangePr sourceName="_xlcn.WorksheetConnection_projectdata.xlsxsheet9"/>
        </x15:connection>
      </ext>
    </extLst>
  </connection>
</connections>
</file>

<file path=xl/sharedStrings.xml><?xml version="1.0" encoding="utf-8"?>
<sst xmlns="http://schemas.openxmlformats.org/spreadsheetml/2006/main" count="905" uniqueCount="384">
  <si>
    <t>Date</t>
  </si>
  <si>
    <t>Cust Key</t>
  </si>
  <si>
    <t>West</t>
  </si>
  <si>
    <t>Southwest</t>
  </si>
  <si>
    <t>South</t>
  </si>
  <si>
    <t>Midwest</t>
  </si>
  <si>
    <t>East</t>
  </si>
  <si>
    <t>Store Key</t>
  </si>
  <si>
    <t>Baltic Store #84</t>
  </si>
  <si>
    <t>84 Baltic Pass</t>
  </si>
  <si>
    <t>Collent Store #192</t>
  </si>
  <si>
    <t>192 Collent Rue</t>
  </si>
  <si>
    <t>Commercial Store #178</t>
  </si>
  <si>
    <t>178 Commercial Tunnel</t>
  </si>
  <si>
    <t>Norfolk Store #36</t>
  </si>
  <si>
    <t>36 Norfolk Crossroad</t>
  </si>
  <si>
    <t>Union Store #318</t>
  </si>
  <si>
    <t>318 Union Tunnel</t>
  </si>
  <si>
    <t>Eaglet Store #269</t>
  </si>
  <si>
    <t>269 Eaglet Street</t>
  </si>
  <si>
    <t>Ashley Store #831</t>
  </si>
  <si>
    <t>831 Ashley Vale</t>
  </si>
  <si>
    <t>Linda Store #184</t>
  </si>
  <si>
    <t>184 Linda Street</t>
  </si>
  <si>
    <t>Aberavon Store #544</t>
  </si>
  <si>
    <t>544 Aberavon Drive</t>
  </si>
  <si>
    <t>Clarges Store #942</t>
  </si>
  <si>
    <t>942 Clarges Crossroad</t>
  </si>
  <si>
    <t>Cliff Store #870</t>
  </si>
  <si>
    <t>870 Cliff Crossroad</t>
  </si>
  <si>
    <t>Arbutus Store #270</t>
  </si>
  <si>
    <t>270 Arbutus Grove</t>
  </si>
  <si>
    <t>Arline Store #649</t>
  </si>
  <si>
    <t>649 Arline Grove</t>
  </si>
  <si>
    <t>Blue Anchor Store #303</t>
  </si>
  <si>
    <t>303 Blue Anchor Walk</t>
  </si>
  <si>
    <t>King Store #625</t>
  </si>
  <si>
    <t>625 King Walk</t>
  </si>
  <si>
    <t>Abourne Store #267</t>
  </si>
  <si>
    <t>267 Abourne Crossroad</t>
  </si>
  <si>
    <t>Linden Store #383</t>
  </si>
  <si>
    <t>383 Linden Way</t>
  </si>
  <si>
    <t>Coalecroft Store #491</t>
  </si>
  <si>
    <t>491 Coalecroft Crossroad</t>
  </si>
  <si>
    <t>Argyle Store #858</t>
  </si>
  <si>
    <t>858 Argyle Road</t>
  </si>
  <si>
    <t>Gautrey Store #795</t>
  </si>
  <si>
    <t>795 Gautrey Hill</t>
  </si>
  <si>
    <t>Woodland Store #425</t>
  </si>
  <si>
    <t>425 Woodland Pass</t>
  </si>
  <si>
    <t>Calvin Store #882</t>
  </si>
  <si>
    <t>882 Calvin Boulevard</t>
  </si>
  <si>
    <t>Carol Store #394</t>
  </si>
  <si>
    <t>394 Carol Tunnel</t>
  </si>
  <si>
    <t>Thurloe Store #149</t>
  </si>
  <si>
    <t>149 Thurloe Drive</t>
  </si>
  <si>
    <t>Dunstable Store #33</t>
  </si>
  <si>
    <t>33 Dunstable Pass</t>
  </si>
  <si>
    <t>Abbots Store #888</t>
  </si>
  <si>
    <t>888 Abbots Tunnel</t>
  </si>
  <si>
    <t>Bolton Store #170</t>
  </si>
  <si>
    <t>170 Bolton Rue</t>
  </si>
  <si>
    <t>Colombo Store #630</t>
  </si>
  <si>
    <t>630 Colombo Way</t>
  </si>
  <si>
    <t>Walnut Store #8</t>
  </si>
  <si>
    <t>8 Walnut Drive</t>
  </si>
  <si>
    <t>Westcott Store #341</t>
  </si>
  <si>
    <t>341 Westcott Pass</t>
  </si>
  <si>
    <t>Maple Store #525</t>
  </si>
  <si>
    <t>525 Maple Hill</t>
  </si>
  <si>
    <t>Geffrye Store #784</t>
  </si>
  <si>
    <t>784 Geffrye Alley</t>
  </si>
  <si>
    <t>Fawn Store #27</t>
  </si>
  <si>
    <t>27 Fawn Road</t>
  </si>
  <si>
    <t>Lonsdale Store #847</t>
  </si>
  <si>
    <t>847 Lonsdale Boulevard</t>
  </si>
  <si>
    <t>Caroline Store #400</t>
  </si>
  <si>
    <t>400 Caroline Alley</t>
  </si>
  <si>
    <t>Carlton Store #617</t>
  </si>
  <si>
    <t>617 Carlton Grove</t>
  </si>
  <si>
    <t>Durnford Store #845</t>
  </si>
  <si>
    <t>845 Durnford Alley</t>
  </si>
  <si>
    <t>Aspen Store #641</t>
  </si>
  <si>
    <t>641 Aspen Street</t>
  </si>
  <si>
    <t>Walnut Store #763</t>
  </si>
  <si>
    <t>763 Walnut Route</t>
  </si>
  <si>
    <t>Westcott Store #500</t>
  </si>
  <si>
    <t>500 Westcott Road</t>
  </si>
  <si>
    <t>Lonsdale Store #241</t>
  </si>
  <si>
    <t>241 Lonsdale Pass</t>
  </si>
  <si>
    <t>Balham Store #305</t>
  </si>
  <si>
    <t>305 Balham Avenue</t>
  </si>
  <si>
    <t>Cadogan Store #115</t>
  </si>
  <si>
    <t>115 Cadogan Route</t>
  </si>
  <si>
    <t>Norland Store #443</t>
  </si>
  <si>
    <t>443 Norland Alley</t>
  </si>
  <si>
    <t>Norland Store #734</t>
  </si>
  <si>
    <t>734 Norland Drive</t>
  </si>
  <si>
    <t>Thrale Store #895</t>
  </si>
  <si>
    <t>895 Thrale Route</t>
  </si>
  <si>
    <t>Commercial Store #201</t>
  </si>
  <si>
    <t>201 Commercial Walk</t>
  </si>
  <si>
    <t>Argyle Store #326</t>
  </si>
  <si>
    <t>326 Argyle Vale</t>
  </si>
  <si>
    <t>Carlton Store #889</t>
  </si>
  <si>
    <t>889 Carlton Route</t>
  </si>
  <si>
    <t>Balfour Store #182</t>
  </si>
  <si>
    <t>182 Balfour Hill</t>
  </si>
  <si>
    <t>Thorndike Store #972</t>
  </si>
  <si>
    <t>972 Thorndike Way</t>
  </si>
  <si>
    <t>Chelsea Store #973</t>
  </si>
  <si>
    <t>973 Chelsea Manor Crossroad</t>
  </si>
  <si>
    <t>Timber Store #932</t>
  </si>
  <si>
    <t>932 Timber Boulevard</t>
  </si>
  <si>
    <t>Blackheath Store #687</t>
  </si>
  <si>
    <t>687 Blackheath Drive</t>
  </si>
  <si>
    <t>Camberwell Store #359</t>
  </si>
  <si>
    <t>359 Camberwell Walk</t>
  </si>
  <si>
    <t>Coborn Store #527</t>
  </si>
  <si>
    <t>527 Coborn Drive</t>
  </si>
  <si>
    <t>Angel Store #912</t>
  </si>
  <si>
    <t>912 Angel Rue</t>
  </si>
  <si>
    <t>Lincoln Store #200</t>
  </si>
  <si>
    <t>200 Lincoln Avenue</t>
  </si>
  <si>
    <t>Queen Store #801</t>
  </si>
  <si>
    <t>801 Queen Avenue</t>
  </si>
  <si>
    <t>Calvin Store #247</t>
  </si>
  <si>
    <t>247 Calvin Boulevard</t>
  </si>
  <si>
    <t>Chapel Store #897</t>
  </si>
  <si>
    <t>897 Chapel Avenue</t>
  </si>
  <si>
    <t>Abbey Store #885</t>
  </si>
  <si>
    <t>885 Abbey Tunnel</t>
  </si>
  <si>
    <t>Anns Store #24</t>
  </si>
  <si>
    <t>24 Anns Alley</t>
  </si>
  <si>
    <t>Thorndike Store #866</t>
  </si>
  <si>
    <t>866 Thorndike Hill</t>
  </si>
  <si>
    <t>Edwin Store #974</t>
  </si>
  <si>
    <t>974 Edwin Rue</t>
  </si>
  <si>
    <t>Bendmore Store #992</t>
  </si>
  <si>
    <t>992 Bendmore Drive</t>
  </si>
  <si>
    <t>Ampton Store #39</t>
  </si>
  <si>
    <t>39 Ampton Way</t>
  </si>
  <si>
    <t>Gavel Store #502</t>
  </si>
  <si>
    <t>502 Gavel Walk</t>
  </si>
  <si>
    <t>Blore Store #204</t>
  </si>
  <si>
    <t>204 Blore Road</t>
  </si>
  <si>
    <t>Cheney Store #674</t>
  </si>
  <si>
    <t>674 Cheney Walk</t>
  </si>
  <si>
    <t>Cliff Store #591</t>
  </si>
  <si>
    <t>591 Cliff Walk</t>
  </si>
  <si>
    <t>Rivervalley Store #815</t>
  </si>
  <si>
    <t>815 Rivervalley Street</t>
  </si>
  <si>
    <t>Spruce Store #254</t>
  </si>
  <si>
    <t>254 Spruce Way</t>
  </si>
  <si>
    <t>Collins Store #911</t>
  </si>
  <si>
    <t>911 Collins Way</t>
  </si>
  <si>
    <t>Coley Store #56</t>
  </si>
  <si>
    <t>56 Coley Boulevard</t>
  </si>
  <si>
    <t>Eaglet Store #550</t>
  </si>
  <si>
    <t>550 Eaglet Pass</t>
  </si>
  <si>
    <t>Duthie Store #402</t>
  </si>
  <si>
    <t>402 Duthie Crossroad</t>
  </si>
  <si>
    <t>Tisbury Store #473</t>
  </si>
  <si>
    <t>473 Tisbury Road</t>
  </si>
  <si>
    <t>Sheraton Store #610</t>
  </si>
  <si>
    <t>610 Sheraton Pass</t>
  </si>
  <si>
    <t>Ernest Store #898</t>
  </si>
  <si>
    <t>898 Ernest Lane</t>
  </si>
  <si>
    <t>Church Store #594</t>
  </si>
  <si>
    <t>594 Church Drive</t>
  </si>
  <si>
    <t>Chambers Store #71</t>
  </si>
  <si>
    <t>71 Chambers Pass</t>
  </si>
  <si>
    <t>Carolina Store #222</t>
  </si>
  <si>
    <t>222 Carolina Vale</t>
  </si>
  <si>
    <t>Chelsea Store #770</t>
  </si>
  <si>
    <t>770 Chelsea Manor Crossroad</t>
  </si>
  <si>
    <t>Blenkarne Store #199</t>
  </si>
  <si>
    <t>199 Blenkarne Crossroad</t>
  </si>
  <si>
    <t>Oxford Store #464</t>
  </si>
  <si>
    <t>464 Oxford Lane</t>
  </si>
  <si>
    <t>Enford Store #642</t>
  </si>
  <si>
    <t>642 Enford Road</t>
  </si>
  <si>
    <t>Chester Store #164</t>
  </si>
  <si>
    <t>164 Chester Drive</t>
  </si>
  <si>
    <t>Lexington Store #538</t>
  </si>
  <si>
    <t>538 Lexington Rue</t>
  </si>
  <si>
    <t>Abourne Store #949</t>
  </si>
  <si>
    <t>949 Abourne Grove</t>
  </si>
  <si>
    <t>Pine Store #717</t>
  </si>
  <si>
    <t>717 Pine Avenue</t>
  </si>
  <si>
    <t>Carlisle Store #16</t>
  </si>
  <si>
    <t>16 Carlisle Street</t>
  </si>
  <si>
    <t>Cedarne Store #869</t>
  </si>
  <si>
    <t>869 Cedarne Route</t>
  </si>
  <si>
    <t>Longmoore Store #314</t>
  </si>
  <si>
    <t>314 Longmoore Alley</t>
  </si>
  <si>
    <t>Angrave Store #661</t>
  </si>
  <si>
    <t>661 Angrave Alley</t>
  </si>
  <si>
    <t>King Store #922</t>
  </si>
  <si>
    <t>922 King William Way</t>
  </si>
  <si>
    <t>King Store #659</t>
  </si>
  <si>
    <t>659 King Hill</t>
  </si>
  <si>
    <t>Garfield Store #436</t>
  </si>
  <si>
    <t>436 Garfield Alley</t>
  </si>
  <si>
    <t>Arthur Store #438</t>
  </si>
  <si>
    <t>438 Arthur Alley</t>
  </si>
  <si>
    <t>Thoresby Store #819</t>
  </si>
  <si>
    <t>819 Thoresby Avenue</t>
  </si>
  <si>
    <t>King Store #705</t>
  </si>
  <si>
    <t>705 King Boulevard</t>
  </si>
  <si>
    <t>Ellerman Store #908</t>
  </si>
  <si>
    <t>908 Ellerman Lane</t>
  </si>
  <si>
    <t>Cavendish Store #409</t>
  </si>
  <si>
    <t>409 Cavendish Rue</t>
  </si>
  <si>
    <t>Coalecroft Store #212</t>
  </si>
  <si>
    <t>212 Coalecroft Avenue</t>
  </si>
  <si>
    <t>Udall Store #531</t>
  </si>
  <si>
    <t>531 Udall Avenue</t>
  </si>
  <si>
    <t>Walnut Store #984</t>
  </si>
  <si>
    <t>984 Walnut Grove</t>
  </si>
  <si>
    <t>York Store #814</t>
  </si>
  <si>
    <t>814 York Street</t>
  </si>
  <si>
    <t>Hamilton Store #615</t>
  </si>
  <si>
    <t>615 Hamilton Rue</t>
  </si>
  <si>
    <t>Cobden Store #788</t>
  </si>
  <si>
    <t>788 Cobden Lane</t>
  </si>
  <si>
    <t>Earl Store #766</t>
  </si>
  <si>
    <t>766 Earl Rise Walk</t>
  </si>
  <si>
    <t>Price</t>
  </si>
  <si>
    <t>Entertainment</t>
  </si>
  <si>
    <t>4-50" Class (49.5" Diag.)   LED   2160p</t>
  </si>
  <si>
    <t>8-55" Class (54.6" Diag.)   LED   Curved</t>
  </si>
  <si>
    <t>9-55" Class (54.6" Diag.)   LED   2160p</t>
  </si>
  <si>
    <t>23-M Series   55" Class (55" Diag.)</t>
  </si>
  <si>
    <t>33-65" Class (64.5" Diag.)   LED   2160p</t>
  </si>
  <si>
    <t>37-AQUOS   70" Class (69.5" Diag.)   LED</t>
  </si>
  <si>
    <t>38-65" Class (64.5" Diag.)   LED   Curved</t>
  </si>
  <si>
    <t>Music</t>
  </si>
  <si>
    <t>52-Plus Portable Bluetooth Speaker   Gray</t>
  </si>
  <si>
    <t>54-Protector Case for 5th Generation Apple® iPod® touch   Black</t>
  </si>
  <si>
    <t>57-4' Micro USB Charge and Sync Cable</t>
  </si>
  <si>
    <t>61-Apple MFi Certified 4' Touch On LED Lightning Charge and Sync Cable</t>
  </si>
  <si>
    <t>65-Survivor Slim Case for Apple® iPod® touch 5th Generation   Turquoise/Lemon</t>
  </si>
  <si>
    <t>66-Plus Portable Bluetooth Speaker   Pink</t>
  </si>
  <si>
    <t>68-KaZoo Case for 5th Generation Apple® iPod® touch   Black</t>
  </si>
  <si>
    <t>78-BOOM Wireless Bluetooth Speaker   Black</t>
  </si>
  <si>
    <t>87-Bullfrogz Case for Apple® iPod® touch 5th Generation   Black/Green</t>
  </si>
  <si>
    <t>89-Call Jax Plus 3.5mm Audio Cable   Black</t>
  </si>
  <si>
    <t>93-Courier Clip Case for Apple® iPod® nano 7th Generation   Black</t>
  </si>
  <si>
    <t>Mobiles</t>
  </si>
  <si>
    <t>104-Galaxy Note5 4G LTE with 32GB Memory Cell Phone   White Pearl (AT&amp;T)</t>
  </si>
  <si>
    <t>118-iPhone 6s 16GB   Gold (AT&amp;T)</t>
  </si>
  <si>
    <t>131-Galaxy S6 4G with 32GB Memory Cell Phone   White Pearl (AT&amp;T)</t>
  </si>
  <si>
    <t>154-Character Support Stand for Pill Speakers   Pink</t>
  </si>
  <si>
    <t>158-Stanmore Bluetooth Speaker   Black</t>
  </si>
  <si>
    <t>159-420W Portable Party Speaker System with Apple® iPod® and iPhone® Dock   Black</t>
  </si>
  <si>
    <t>163-CallJax 3.5mm Audio Cable   Black</t>
  </si>
  <si>
    <t>171-PowerBlock Micro Wall Charger for Select Apple® Devices   White</t>
  </si>
  <si>
    <t>176-SoundLink® Mini Bluetooth Speaker II   Carbon</t>
  </si>
  <si>
    <t>182-Portable Bluetooth Stereo Speaker   Black</t>
  </si>
  <si>
    <t>183-SoundLink® Portable Bluetooth Speaker III   Silver/Black</t>
  </si>
  <si>
    <t>184-SoundLink® Mini Bluetooth Speaker II   Pearl</t>
  </si>
  <si>
    <t>185-Bluetooth Audio Transmitter   White</t>
  </si>
  <si>
    <t>186-Flip 3 Portable Bluetooth Speaker   Black</t>
  </si>
  <si>
    <t>188-SoundLink® Color Bluetooth Speaker   Blue</t>
  </si>
  <si>
    <t>190-Mini Life Jacket Bluetooth Speaker   Blue</t>
  </si>
  <si>
    <t>200-Hangtime Wireless Bluetooth Speaker   Black</t>
  </si>
  <si>
    <t>205-65" Class (64.5" Diag.)   LED   Curved</t>
  </si>
  <si>
    <t>Computers</t>
  </si>
  <si>
    <t>261-21.5All In One</t>
  </si>
  <si>
    <t>275-Gamer Ultra Desktop   AMD FX Series</t>
  </si>
  <si>
    <t>290-21.5" LED HD Monitor   Black</t>
  </si>
  <si>
    <t>294-21.5" LED HD Touch Screen Monitor   Black</t>
  </si>
  <si>
    <t>304-Over the Ear Wireless Headphones</t>
  </si>
  <si>
    <t>308-Tone Infinim Wireless Earbud Headphones   Metallic Silver</t>
  </si>
  <si>
    <t>309-Tone Pro Bluetooth Headset   Black</t>
  </si>
  <si>
    <t>318-Noise Canceling Over the</t>
  </si>
  <si>
    <t>319-EX Earbud Headphones   White</t>
  </si>
  <si>
    <t>320-ZX Series On Ear Headphones   White</t>
  </si>
  <si>
    <t>321-Earbud Headphones   Black</t>
  </si>
  <si>
    <t>322-Gumy Plus Earbud Headphones   Black</t>
  </si>
  <si>
    <t>325-Uproar On Ear Headphones   Black</t>
  </si>
  <si>
    <t>327-20' Headphone Extension Cable and Adapter Kit   Black</t>
  </si>
  <si>
    <t>328-Ink'd 2 Earbud Headphones   Blue/Black</t>
  </si>
  <si>
    <t>333-Step Up EX Series Earbud Headphones   Black</t>
  </si>
  <si>
    <t>334-urBeats Earbud Headphones   Black</t>
  </si>
  <si>
    <t>336-EX Series Earbud Headphones   Black</t>
  </si>
  <si>
    <t>342-Gumy Earbud Headphones   White</t>
  </si>
  <si>
    <t>345-Step Wireless Earbud Headphones   Black</t>
  </si>
  <si>
    <t>346-Survivor AUX 4' Auxiliary Audio Cable   Blue</t>
  </si>
  <si>
    <t>351-Geek Squad Certified Refurbished iPod nano® 16GB MP3 Player (8th Generation   Latest Model)   Space Gray</t>
  </si>
  <si>
    <t>354-Geek Squad Certified Refurbished iPod touch® 16GB MP3 Player (6th Generation   Latest Model)   Gold</t>
  </si>
  <si>
    <t>355-iPod nano® 16GB MP3 Player (8th Generation   Latest Model)   Gold</t>
  </si>
  <si>
    <t>360-iPod nano® 16GB MP3 Player (8th Generation   Latest Model)   Space Gray</t>
  </si>
  <si>
    <t>368-iPod touch® 64GB MP3 Player (6th Generation   Latest Model)   White/Silver</t>
  </si>
  <si>
    <t>369-iPod shuffle® 2GB MP3 Player (6th Generation   Latest Model)   Gold</t>
  </si>
  <si>
    <t>372-$15 iTunes Gift Card   Blue/Purple</t>
  </si>
  <si>
    <t>377-iPod nano® 16GB MP3 Player (8th Generation   Latest Model)   Space Gray</t>
  </si>
  <si>
    <t>378-iPod touch® 16GB MP3 Player (6th Generation   Latest Model)   Blue</t>
  </si>
  <si>
    <t>380-iPod touch® 16GB MP3 Player (6th Generation   Latest Model)   Space Gray</t>
  </si>
  <si>
    <t>381-iPod nano® 16GB MP3 Player (8th Generation   Latest Model)   Gold</t>
  </si>
  <si>
    <t>384-iPod touch® 32GB MP3 Player (6th Generation   Latest Model)   Space Gray</t>
  </si>
  <si>
    <t>385-iPod shuffle® 2GB MP3 Player (6th Generation   Latest Model)   White &amp; Silver</t>
  </si>
  <si>
    <t>390-iPod nano® 16GB MP3 Player (8th Generation   Latest Model)   Silver</t>
  </si>
  <si>
    <t>392-iPod touch® 16GB MP3 Player (6th Generation   Latest Model)   Silver</t>
  </si>
  <si>
    <t>405-Flip 2 in 1 10.1Touch</t>
  </si>
  <si>
    <t>424-ENVY x360 2 in 1 15.6Touch</t>
  </si>
  <si>
    <t>444-Aspire 15.6" Laptop   Intel Celeron   4GB Memory</t>
  </si>
  <si>
    <t>462-65" Class (64.5" Diag.)   LED   Curved</t>
  </si>
  <si>
    <t>470-43" Class (42.5" Diag.)   LED   1080p</t>
  </si>
  <si>
    <t>Photography</t>
  </si>
  <si>
    <t>501-EF 85mm f/1.8 USM Medium Telephoto Lens   Black</t>
  </si>
  <si>
    <t>510-AF S DX NIKKOR 55 300mm f/4.5</t>
  </si>
  <si>
    <t>556-Sonnar T FE 55mm f/1.8 ZA Lens for Most Sony a7 Series Cameras   Black</t>
  </si>
  <si>
    <t>603-Pixtor 64GB SDXC Class 10 UHS 1 Memory Card   Black/Red</t>
  </si>
  <si>
    <t>703-MFC 8950DW Wireless Black and</t>
  </si>
  <si>
    <t>739-Officejet Pro 8610 e All in</t>
  </si>
  <si>
    <t>766-Coolpix S9900 16.0 Megapixel Digital Camera   Black</t>
  </si>
  <si>
    <t>796-D5300 DSLR Camera (Body Only)   Black</t>
  </si>
  <si>
    <t>870-iPhone 6s Plus 64GB   Silver (Sprint)</t>
  </si>
  <si>
    <t>890-iPhone 6s 128GB   Space Gray (Sprint)</t>
  </si>
  <si>
    <t>946-iPhone 6s 16GB   Gold (Verizon Wireless)</t>
  </si>
  <si>
    <t>976-G4 Cell Phone   Deep Blue (Verizon Wireless)</t>
  </si>
  <si>
    <t>Arts &amp; Entertainment</t>
  </si>
  <si>
    <t>986-Art Ink</t>
  </si>
  <si>
    <t>1028-Craft &amp; Office Glue</t>
  </si>
  <si>
    <t>1030-Craft Cutters &amp; Embossers</t>
  </si>
  <si>
    <t>1053-Eyelets &amp; Grommets</t>
  </si>
  <si>
    <t>1056-Felting Needles &amp; Machines</t>
  </si>
  <si>
    <t>1060-Floral Tape</t>
  </si>
  <si>
    <t>1061-Floral Wire</t>
  </si>
  <si>
    <t>1059-Finger &amp; Hand Cymbals</t>
  </si>
  <si>
    <t>1079-Hand Bells &amp; Chimes</t>
  </si>
  <si>
    <t>1008-Brass Instrument Cleaning Tools</t>
  </si>
  <si>
    <t>1018-Clarinet Cases &amp; Gigbags</t>
  </si>
  <si>
    <t>1047-Drum Pedals</t>
  </si>
  <si>
    <t>1050-Electric Guitar Pickups</t>
  </si>
  <si>
    <t>1064-Flute Parts</t>
  </si>
  <si>
    <t>1069-Guitar Cases &amp; Gig Bags</t>
  </si>
  <si>
    <t>1075-Guitar Straps</t>
  </si>
  <si>
    <t>1083-Hand Percussion Stands &amp; Mounts</t>
  </si>
  <si>
    <t>1087-Harmonica Holders</t>
  </si>
  <si>
    <t>1089-Hockey Fan Accessories</t>
  </si>
  <si>
    <t>1095-Jewelry Findings</t>
  </si>
  <si>
    <t>1096-Knitting Needles</t>
  </si>
  <si>
    <t>Order Number</t>
  </si>
  <si>
    <t>Quantity</t>
  </si>
  <si>
    <t>Cost</t>
  </si>
  <si>
    <t>sheet8.Product Key</t>
  </si>
  <si>
    <t>sheet8.Sales Amount</t>
  </si>
  <si>
    <t>sheet8.Cost Amount</t>
  </si>
  <si>
    <t>sheet6.Product Name</t>
  </si>
  <si>
    <t>sheet6.Product Type</t>
  </si>
  <si>
    <t>sheet6.Quantity on Hand</t>
  </si>
  <si>
    <t>sheet4.Store Name</t>
  </si>
  <si>
    <t>sheet4.Store Address</t>
  </si>
  <si>
    <t>sheet4.Store Region</t>
  </si>
  <si>
    <t>sheet3.Cust Region</t>
  </si>
  <si>
    <t>Sum of sheet8.Sales Amount</t>
  </si>
  <si>
    <t>Row Labels</t>
  </si>
  <si>
    <t>Grand Total</t>
  </si>
  <si>
    <t>2021</t>
  </si>
  <si>
    <t>gross profit</t>
  </si>
  <si>
    <t>Sum of gross profit</t>
  </si>
  <si>
    <t>Column Labels</t>
  </si>
  <si>
    <t>inventory value</t>
  </si>
  <si>
    <t>Sum of sheet6.Quantity on Hand</t>
  </si>
  <si>
    <t>Sum of Quantity</t>
  </si>
  <si>
    <t>inventory value2</t>
  </si>
  <si>
    <t>reorder level</t>
  </si>
  <si>
    <t>Sum of inventory value2</t>
  </si>
  <si>
    <t>stock status</t>
  </si>
  <si>
    <t>under stock</t>
  </si>
  <si>
    <t>over stock</t>
  </si>
  <si>
    <t>2019</t>
  </si>
  <si>
    <t>2020</t>
  </si>
  <si>
    <t>2022</t>
  </si>
  <si>
    <t>profit margin</t>
  </si>
  <si>
    <t>Sum of profit margin</t>
  </si>
  <si>
    <t>Count of Order Number</t>
  </si>
  <si>
    <t>MTD</t>
  </si>
  <si>
    <t>Qtr4</t>
  </si>
  <si>
    <t>Oct</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</si>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</sst>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K&quot;"/>
  </numFmts>
  <fonts count="4">
    <font>
      <sz val="11"/>
      <color theme="1"/>
      <name val="Calibri"/>
      <family val="2"/>
      <scheme val="minor"/>
    </font>
    <font>
      <b/>
      <sz val="11"/>
      <color theme="1"/>
      <name val="Calibri"/>
      <family val="2"/>
      <scheme val="minor"/>
    </font>
    <font>
      <sz val="8"/>
      <name val="Calibri"/>
      <family val="2"/>
      <scheme val="minor"/>
    </font>
    <font>
      <b/>
      <sz val="11"/>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9"/>
        <bgColor theme="9"/>
      </patternFill>
    </fill>
  </fills>
  <borders count="12">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theme="4"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9">
    <xf numFmtId="0" fontId="0" fillId="0" borderId="0" xfId="0"/>
    <xf numFmtId="22"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2" borderId="10" xfId="0" applyFont="1" applyFill="1" applyBorder="1"/>
    <xf numFmtId="0" fontId="0" fillId="0" borderId="0" xfId="0" pivotButton="1"/>
    <xf numFmtId="22" fontId="0" fillId="0" borderId="0" xfId="0" applyNumberFormat="1" applyAlignment="1">
      <alignment horizontal="left"/>
    </xf>
    <xf numFmtId="0" fontId="0" fillId="0" borderId="0" xfId="0" applyAlignment="1">
      <alignment horizontal="left"/>
    </xf>
    <xf numFmtId="164" fontId="0" fillId="0" borderId="0" xfId="0" applyNumberFormat="1"/>
    <xf numFmtId="0" fontId="3" fillId="3" borderId="11" xfId="0" applyFont="1" applyFill="1" applyBorder="1"/>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4.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DASHBOARD.xlsx]TOTAL SALES (ytd)mtd,qtd!PivotTable1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TOTAL,</a:t>
            </a:r>
            <a:r>
              <a:rPr lang="en-IN" b="1" baseline="0">
                <a:solidFill>
                  <a:srgbClr val="FF0000"/>
                </a:solidFill>
              </a:rPr>
              <a:t> SALES (YTD,MTD,QTD)</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(ytd)mtd,qtd'!$B$3</c:f>
              <c:strCache>
                <c:ptCount val="1"/>
                <c:pt idx="0">
                  <c:v>Total</c:v>
                </c:pt>
              </c:strCache>
            </c:strRef>
          </c:tx>
          <c:spPr>
            <a:solidFill>
              <a:schemeClr val="accent1"/>
            </a:solidFill>
            <a:ln>
              <a:noFill/>
            </a:ln>
            <a:effectLst/>
          </c:spPr>
          <c:invertIfNegative val="0"/>
          <c:cat>
            <c:multiLvlStrRef>
              <c:f>'TOTAL SALES (ytd)mtd,qtd'!$A$4:$A$17</c:f>
              <c:multiLvlStrCache>
                <c:ptCount val="7"/>
                <c:lvl>
                  <c:pt idx="0">
                    <c:v>Oct</c:v>
                  </c:pt>
                  <c:pt idx="1">
                    <c:v>Nov</c:v>
                  </c:pt>
                  <c:pt idx="2">
                    <c:v>Oct</c:v>
                  </c:pt>
                  <c:pt idx="3">
                    <c:v>Nov</c:v>
                  </c:pt>
                  <c:pt idx="4">
                    <c:v>Oct</c:v>
                  </c:pt>
                  <c:pt idx="5">
                    <c:v>Nov</c:v>
                  </c:pt>
                </c:lvl>
                <c:lvl>
                  <c:pt idx="0">
                    <c:v>Qtr4</c:v>
                  </c:pt>
                  <c:pt idx="2">
                    <c:v>Qtr4</c:v>
                  </c:pt>
                  <c:pt idx="4">
                    <c:v>Qtr4</c:v>
                  </c:pt>
                </c:lvl>
                <c:lvl>
                  <c:pt idx="0">
                    <c:v>2019</c:v>
                  </c:pt>
                  <c:pt idx="2">
                    <c:v>2020</c:v>
                  </c:pt>
                  <c:pt idx="4">
                    <c:v>2021</c:v>
                  </c:pt>
                  <c:pt idx="6">
                    <c:v>2022</c:v>
                  </c:pt>
                </c:lvl>
              </c:multiLvlStrCache>
            </c:multiLvlStrRef>
          </c:cat>
          <c:val>
            <c:numRef>
              <c:f>'TOTAL SALES (ytd)mtd,qtd'!$B$4:$B$17</c:f>
              <c:numCache>
                <c:formatCode>General</c:formatCode>
                <c:ptCount val="7"/>
                <c:pt idx="0">
                  <c:v>114</c:v>
                </c:pt>
                <c:pt idx="1">
                  <c:v>586</c:v>
                </c:pt>
                <c:pt idx="2">
                  <c:v>109.5</c:v>
                </c:pt>
                <c:pt idx="3">
                  <c:v>240</c:v>
                </c:pt>
                <c:pt idx="4">
                  <c:v>303</c:v>
                </c:pt>
                <c:pt idx="5">
                  <c:v>1193.5</c:v>
                </c:pt>
                <c:pt idx="6">
                  <c:v>#N/A</c:v>
                </c:pt>
              </c:numCache>
            </c:numRef>
          </c:val>
          <c:extLst>
            <c:ext xmlns:c16="http://schemas.microsoft.com/office/drawing/2014/chart" uri="{C3380CC4-5D6E-409C-BE32-E72D297353CC}">
              <c16:uniqueId val="{00000000-A3EE-4A3B-8EF4-798EE8E8BB93}"/>
            </c:ext>
          </c:extLst>
        </c:ser>
        <c:dLbls>
          <c:showLegendKey val="0"/>
          <c:showVal val="0"/>
          <c:showCatName val="0"/>
          <c:showSerName val="0"/>
          <c:showPercent val="0"/>
          <c:showBubbleSize val="0"/>
        </c:dLbls>
        <c:gapWidth val="219"/>
        <c:overlap val="-27"/>
        <c:axId val="2061541264"/>
        <c:axId val="2061541744"/>
      </c:barChart>
      <c:catAx>
        <c:axId val="206154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541744"/>
        <c:crosses val="autoZero"/>
        <c:auto val="1"/>
        <c:lblAlgn val="ctr"/>
        <c:lblOffset val="100"/>
        <c:noMultiLvlLbl val="0"/>
      </c:catAx>
      <c:valAx>
        <c:axId val="206154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54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DASHBOARD.xlsx]2store wise sales!PivotTable2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FF0000"/>
                </a:solidFill>
                <a:latin typeface="Agency FB" panose="020B0503020202020204" pitchFamily="34" charset="0"/>
              </a:rPr>
              <a:t>store</a:t>
            </a:r>
            <a:r>
              <a:rPr lang="en-IN" sz="1800" b="1" baseline="0">
                <a:solidFill>
                  <a:srgbClr val="FF0000"/>
                </a:solidFill>
                <a:latin typeface="Agency FB" panose="020B0503020202020204" pitchFamily="34" charset="0"/>
              </a:rPr>
              <a:t> wise sales</a:t>
            </a:r>
            <a:endParaRPr lang="en-IN" sz="1800" b="1">
              <a:solidFill>
                <a:srgbClr val="FF0000"/>
              </a:solidFill>
              <a:latin typeface="Agency FB" panose="020B0503020202020204" pitchFamily="34" charset="0"/>
            </a:endParaRPr>
          </a:p>
        </c:rich>
      </c:tx>
      <c:layout>
        <c:manualLayout>
          <c:xMode val="edge"/>
          <c:yMode val="edge"/>
          <c:x val="0.38421305589324589"/>
          <c:y val="2.16697101854752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w="25400">
          <a:noFill/>
        </a:ln>
        <a:effectLst/>
        <a:sp3d/>
      </c:spPr>
    </c:backWall>
    <c:plotArea>
      <c:layout/>
      <c:bar3DChart>
        <c:barDir val="bar"/>
        <c:grouping val="stacked"/>
        <c:varyColors val="0"/>
        <c:ser>
          <c:idx val="0"/>
          <c:order val="0"/>
          <c:tx>
            <c:strRef>
              <c:f>'2store wise sales'!$B$3</c:f>
              <c:strCache>
                <c:ptCount val="1"/>
                <c:pt idx="0">
                  <c:v>Total</c:v>
                </c:pt>
              </c:strCache>
            </c:strRef>
          </c:tx>
          <c:spPr>
            <a:solidFill>
              <a:schemeClr val="accent1"/>
            </a:solidFill>
            <a:ln>
              <a:noFill/>
            </a:ln>
            <a:effectLst/>
            <a:sp3d/>
          </c:spPr>
          <c:invertIfNegative val="0"/>
          <c:cat>
            <c:strRef>
              <c:f>'2store wise sales'!$A$4:$A$18</c:f>
              <c:strCache>
                <c:ptCount val="14"/>
                <c:pt idx="0">
                  <c:v>Abbots Store #888</c:v>
                </c:pt>
                <c:pt idx="1">
                  <c:v>Bendmore Store #992</c:v>
                </c:pt>
                <c:pt idx="2">
                  <c:v>Carol Store #394</c:v>
                </c:pt>
                <c:pt idx="3">
                  <c:v>Cedarne Store #869</c:v>
                </c:pt>
                <c:pt idx="4">
                  <c:v>Chambers Store #71</c:v>
                </c:pt>
                <c:pt idx="5">
                  <c:v>Collins Store #911</c:v>
                </c:pt>
                <c:pt idx="6">
                  <c:v>Commercial Store #178</c:v>
                </c:pt>
                <c:pt idx="7">
                  <c:v>Dunstable Store #33</c:v>
                </c:pt>
                <c:pt idx="8">
                  <c:v>Garfield Store #436</c:v>
                </c:pt>
                <c:pt idx="9">
                  <c:v>Hamilton Store #615</c:v>
                </c:pt>
                <c:pt idx="10">
                  <c:v>King Store #922</c:v>
                </c:pt>
                <c:pt idx="11">
                  <c:v>Walnut Store #763</c:v>
                </c:pt>
                <c:pt idx="12">
                  <c:v>Walnut Store #984</c:v>
                </c:pt>
                <c:pt idx="13">
                  <c:v>York Store #814</c:v>
                </c:pt>
              </c:strCache>
            </c:strRef>
          </c:cat>
          <c:val>
            <c:numRef>
              <c:f>'2store wise sales'!$B$4:$B$18</c:f>
              <c:numCache>
                <c:formatCode>General</c:formatCode>
                <c:ptCount val="14"/>
                <c:pt idx="0">
                  <c:v>723</c:v>
                </c:pt>
                <c:pt idx="1">
                  <c:v>240</c:v>
                </c:pt>
                <c:pt idx="2">
                  <c:v>146.5</c:v>
                </c:pt>
                <c:pt idx="3">
                  <c:v>240</c:v>
                </c:pt>
                <c:pt idx="4">
                  <c:v>115</c:v>
                </c:pt>
                <c:pt idx="5">
                  <c:v>287.5</c:v>
                </c:pt>
                <c:pt idx="6">
                  <c:v>230.5</c:v>
                </c:pt>
                <c:pt idx="7">
                  <c:v>99</c:v>
                </c:pt>
                <c:pt idx="8">
                  <c:v>109.5</c:v>
                </c:pt>
                <c:pt idx="9">
                  <c:v>114</c:v>
                </c:pt>
                <c:pt idx="10">
                  <c:v>471</c:v>
                </c:pt>
                <c:pt idx="11">
                  <c:v>204</c:v>
                </c:pt>
                <c:pt idx="12">
                  <c:v>360</c:v>
                </c:pt>
                <c:pt idx="13">
                  <c:v>335.5</c:v>
                </c:pt>
              </c:numCache>
            </c:numRef>
          </c:val>
          <c:extLst>
            <c:ext xmlns:c16="http://schemas.microsoft.com/office/drawing/2014/chart" uri="{C3380CC4-5D6E-409C-BE32-E72D297353CC}">
              <c16:uniqueId val="{00000000-36E8-438A-90E7-3F5190D83553}"/>
            </c:ext>
          </c:extLst>
        </c:ser>
        <c:dLbls>
          <c:showLegendKey val="0"/>
          <c:showVal val="0"/>
          <c:showCatName val="0"/>
          <c:showSerName val="0"/>
          <c:showPercent val="0"/>
          <c:showBubbleSize val="0"/>
        </c:dLbls>
        <c:gapWidth val="150"/>
        <c:shape val="box"/>
        <c:axId val="1554194416"/>
        <c:axId val="1554197776"/>
        <c:axId val="0"/>
      </c:bar3DChart>
      <c:catAx>
        <c:axId val="1554194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197776"/>
        <c:crosses val="autoZero"/>
        <c:auto val="1"/>
        <c:lblAlgn val="ctr"/>
        <c:lblOffset val="100"/>
        <c:noMultiLvlLbl val="0"/>
      </c:catAx>
      <c:valAx>
        <c:axId val="1554197776"/>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19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DASHBOARD.xlsx]10region wise sales!PivotTable13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REGION WISE SALES</a:t>
            </a:r>
          </a:p>
        </c:rich>
      </c:tx>
      <c:layout>
        <c:manualLayout>
          <c:xMode val="edge"/>
          <c:yMode val="edge"/>
          <c:x val="0.12352777777777778"/>
          <c:y val="4.629629629629629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'10region wise sales'!$B$3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'10region wise sales'!$A$4:$A$9</c:f>
              <c:strCache>
                <c:ptCount val="5"/>
                <c:pt idx="0">
                  <c:v>East</c:v>
                </c:pt>
                <c:pt idx="1">
                  <c:v>Midwest</c:v>
                </c:pt>
                <c:pt idx="2">
                  <c:v>South</c:v>
                </c:pt>
                <c:pt idx="3">
                  <c:v>Southwest</c:v>
                </c:pt>
                <c:pt idx="4">
                  <c:v>West</c:v>
                </c:pt>
              </c:strCache>
            </c:strRef>
          </c:cat>
          <c:val>
            <c:numRef>
              <c:f>'10region wise sales'!$B$4:$B$9</c:f>
              <c:numCache>
                <c:formatCode>#,##0,"K"</c:formatCode>
                <c:ptCount val="5"/>
                <c:pt idx="0">
                  <c:v>1062</c:v>
                </c:pt>
                <c:pt idx="1">
                  <c:v>465.5</c:v>
                </c:pt>
                <c:pt idx="2">
                  <c:v>806.5</c:v>
                </c:pt>
                <c:pt idx="3">
                  <c:v>397</c:v>
                </c:pt>
                <c:pt idx="4">
                  <c:v>944.5</c:v>
                </c:pt>
              </c:numCache>
            </c:numRef>
          </c:val>
          <c:extLst>
            <c:ext xmlns:c16="http://schemas.microsoft.com/office/drawing/2014/chart" uri="{C3380CC4-5D6E-409C-BE32-E72D297353CC}">
              <c16:uniqueId val="{00000000-862A-466E-A163-033BEAE173D7}"/>
            </c:ext>
          </c:extLst>
        </c:ser>
        <c:dLbls>
          <c:dLblPos val="inEnd"/>
          <c:showLegendKey val="0"/>
          <c:showVal val="1"/>
          <c:showCatName val="0"/>
          <c:showSerName val="0"/>
          <c:showPercent val="0"/>
          <c:showBubbleSize val="0"/>
        </c:dLbls>
        <c:gapWidth val="182"/>
        <c:overlap val="-50"/>
        <c:axId val="1274138735"/>
        <c:axId val="1274142095"/>
      </c:barChart>
      <c:catAx>
        <c:axId val="127413873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4142095"/>
        <c:crosses val="autoZero"/>
        <c:auto val="1"/>
        <c:lblAlgn val="ctr"/>
        <c:lblOffset val="100"/>
        <c:noMultiLvlLbl val="0"/>
      </c:catAx>
      <c:valAx>
        <c:axId val="127414209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413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DASHBOARD.xlsx]3sales growth!PivotTable14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SALES</a:t>
            </a:r>
            <a:r>
              <a:rPr lang="en-US" sz="1600" b="1" baseline="0">
                <a:solidFill>
                  <a:srgbClr val="FF0000"/>
                </a:solidFill>
              </a:rPr>
              <a:t> GROWTH</a:t>
            </a:r>
            <a:endParaRPr lang="en-US" sz="1600"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'3sales growth'!$B$3</c:f>
              <c:strCache>
                <c:ptCount val="1"/>
                <c:pt idx="0">
                  <c:v>Total</c:v>
                </c:pt>
              </c:strCache>
            </c:strRef>
          </c:tx>
          <c:spPr>
            <a:ln w="28575" cap="rnd">
              <a:solidFill>
                <a:schemeClr val="accent1"/>
              </a:solidFill>
              <a:round/>
            </a:ln>
            <a:effectLst/>
          </c:spPr>
          <c:marker>
            <c:symbol val="none"/>
          </c:marker>
          <c:cat>
            <c:strRef>
              <c:f>'3sales growth'!$A$4:$A$8</c:f>
              <c:strCache>
                <c:ptCount val="4"/>
                <c:pt idx="0">
                  <c:v>2019</c:v>
                </c:pt>
                <c:pt idx="1">
                  <c:v>2020</c:v>
                </c:pt>
                <c:pt idx="2">
                  <c:v>2021</c:v>
                </c:pt>
                <c:pt idx="3">
                  <c:v>2022</c:v>
                </c:pt>
              </c:strCache>
            </c:strRef>
          </c:cat>
          <c:val>
            <c:numRef>
              <c:f>'3sales growth'!$B$4:$B$8</c:f>
              <c:numCache>
                <c:formatCode>General</c:formatCode>
                <c:ptCount val="4"/>
                <c:pt idx="0">
                  <c:v>700</c:v>
                </c:pt>
                <c:pt idx="1">
                  <c:v>349.5</c:v>
                </c:pt>
                <c:pt idx="2">
                  <c:v>1496.5</c:v>
                </c:pt>
                <c:pt idx="3">
                  <c:v>1129.5</c:v>
                </c:pt>
              </c:numCache>
            </c:numRef>
          </c:val>
          <c:smooth val="0"/>
          <c:extLst>
            <c:ext xmlns:c16="http://schemas.microsoft.com/office/drawing/2014/chart" uri="{C3380CC4-5D6E-409C-BE32-E72D297353CC}">
              <c16:uniqueId val="{00000000-2213-4B9C-A9BD-61E70A994EE6}"/>
            </c:ext>
          </c:extLst>
        </c:ser>
        <c:dLbls>
          <c:showLegendKey val="0"/>
          <c:showVal val="0"/>
          <c:showCatName val="0"/>
          <c:showSerName val="0"/>
          <c:showPercent val="0"/>
          <c:showBubbleSize val="0"/>
        </c:dLbls>
        <c:smooth val="0"/>
        <c:axId val="1330951567"/>
        <c:axId val="1260902815"/>
      </c:lineChart>
      <c:catAx>
        <c:axId val="1330951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902815"/>
        <c:crosses val="autoZero"/>
        <c:auto val="1"/>
        <c:lblAlgn val="ctr"/>
        <c:lblOffset val="100"/>
        <c:noMultiLvlLbl val="0"/>
      </c:catAx>
      <c:valAx>
        <c:axId val="126090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95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DASHBOARD.xlsx]4daily sales trend!PivotTable15</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'4daily sales trend'!$B$3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'4daily sales trend'!$A$4:$A$18</c:f>
              <c:strCache>
                <c:ptCount val="14"/>
                <c:pt idx="0">
                  <c:v>31-10-2019 10:33</c:v>
                </c:pt>
                <c:pt idx="1">
                  <c:v>03-11-2019 00:50</c:v>
                </c:pt>
                <c:pt idx="2">
                  <c:v>17-11-2019 12:19</c:v>
                </c:pt>
                <c:pt idx="3">
                  <c:v>20-10-2020 01:19</c:v>
                </c:pt>
                <c:pt idx="4">
                  <c:v>28-11-2020 17:08</c:v>
                </c:pt>
                <c:pt idx="5">
                  <c:v>05-10-2021 04:16</c:v>
                </c:pt>
                <c:pt idx="6">
                  <c:v>31-10-2021 13:55</c:v>
                </c:pt>
                <c:pt idx="7">
                  <c:v>02-11-2021 08:13</c:v>
                </c:pt>
                <c:pt idx="8">
                  <c:v>19-11-2021 03:20</c:v>
                </c:pt>
                <c:pt idx="9">
                  <c:v>24-11-2021 17:37</c:v>
                </c:pt>
                <c:pt idx="10">
                  <c:v>21-10-2022 20:52</c:v>
                </c:pt>
                <c:pt idx="11">
                  <c:v>26-10-2022 15:51</c:v>
                </c:pt>
                <c:pt idx="12">
                  <c:v>29-10-2022 13:07</c:v>
                </c:pt>
                <c:pt idx="13">
                  <c:v>29-11-2022 13:41</c:v>
                </c:pt>
              </c:strCache>
            </c:strRef>
          </c:cat>
          <c:val>
            <c:numRef>
              <c:f>'4daily sales trend'!$B$4:$B$18</c:f>
              <c:numCache>
                <c:formatCode>General</c:formatCode>
                <c:ptCount val="14"/>
                <c:pt idx="0">
                  <c:v>114</c:v>
                </c:pt>
                <c:pt idx="1">
                  <c:v>115</c:v>
                </c:pt>
                <c:pt idx="2">
                  <c:v>471</c:v>
                </c:pt>
                <c:pt idx="3">
                  <c:v>109.5</c:v>
                </c:pt>
                <c:pt idx="4">
                  <c:v>240</c:v>
                </c:pt>
                <c:pt idx="5">
                  <c:v>99</c:v>
                </c:pt>
                <c:pt idx="6">
                  <c:v>204</c:v>
                </c:pt>
                <c:pt idx="7">
                  <c:v>240</c:v>
                </c:pt>
                <c:pt idx="8">
                  <c:v>230.5</c:v>
                </c:pt>
                <c:pt idx="9">
                  <c:v>723</c:v>
                </c:pt>
                <c:pt idx="10">
                  <c:v>335.5</c:v>
                </c:pt>
                <c:pt idx="11">
                  <c:v>287.5</c:v>
                </c:pt>
                <c:pt idx="12">
                  <c:v>360</c:v>
                </c:pt>
                <c:pt idx="13">
                  <c:v>146.5</c:v>
                </c:pt>
              </c:numCache>
            </c:numRef>
          </c:val>
          <c:extLst>
            <c:ext xmlns:c16="http://schemas.microsoft.com/office/drawing/2014/chart" uri="{C3380CC4-5D6E-409C-BE32-E72D297353CC}">
              <c16:uniqueId val="{00000000-E7D4-4917-97BF-C8EDBADECCB1}"/>
            </c:ext>
          </c:extLst>
        </c:ser>
        <c:dLbls>
          <c:showLegendKey val="0"/>
          <c:showVal val="0"/>
          <c:showCatName val="0"/>
          <c:showSerName val="0"/>
          <c:showPercent val="0"/>
          <c:showBubbleSize val="0"/>
        </c:dLbls>
        <c:gapWidth val="115"/>
        <c:overlap val="-20"/>
        <c:axId val="1554212656"/>
        <c:axId val="1554207856"/>
      </c:barChart>
      <c:catAx>
        <c:axId val="15542126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4207856"/>
        <c:crosses val="autoZero"/>
        <c:auto val="1"/>
        <c:lblAlgn val="ctr"/>
        <c:lblOffset val="100"/>
        <c:noMultiLvlLbl val="0"/>
      </c:catAx>
      <c:valAx>
        <c:axId val="155420785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421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DASHBOARD.xlsx]5brand wise sales!PivotTable16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FF0000"/>
                </a:solidFill>
              </a:rPr>
              <a:t>BRAND</a:t>
            </a:r>
            <a:r>
              <a:rPr lang="en-IN" sz="1600" b="1" baseline="0">
                <a:solidFill>
                  <a:srgbClr val="FF0000"/>
                </a:solidFill>
              </a:rPr>
              <a:t> WISE SALES</a:t>
            </a:r>
            <a:endParaRPr lang="en-IN" sz="1600" b="1">
              <a:solidFill>
                <a:srgbClr val="FF0000"/>
              </a:solidFill>
            </a:endParaRPr>
          </a:p>
        </c:rich>
      </c:tx>
      <c:layout>
        <c:manualLayout>
          <c:xMode val="edge"/>
          <c:yMode val="edge"/>
          <c:x val="0.33846063121543124"/>
          <c:y val="6.22636625058216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s>
    <c:plotArea>
      <c:layout/>
      <c:doughnutChart>
        <c:varyColors val="1"/>
        <c:ser>
          <c:idx val="0"/>
          <c:order val="0"/>
          <c:tx>
            <c:strRef>
              <c:f>'5brand wise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62-492F-906F-1603E5470F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62-492F-906F-1603E5470F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62-492F-906F-1603E5470F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62-492F-906F-1603E5470F6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862-492F-906F-1603E5470F6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862-492F-906F-1603E5470F6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862-492F-906F-1603E5470F6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862-492F-906F-1603E5470F6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862-492F-906F-1603E5470F6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862-492F-906F-1603E5470F6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862-492F-906F-1603E5470F6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862-492F-906F-1603E5470F6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862-492F-906F-1603E5470F6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862-492F-906F-1603E5470F6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862-492F-906F-1603E5470F6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4862-492F-906F-1603E5470F6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862-492F-906F-1603E5470F6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4862-492F-906F-1603E5470F6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4862-492F-906F-1603E5470F6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4862-492F-906F-1603E5470F6E}"/>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4862-492F-906F-1603E5470F6E}"/>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4862-492F-906F-1603E5470F6E}"/>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4862-492F-906F-1603E5470F6E}"/>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4862-492F-906F-1603E5470F6E}"/>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4862-492F-906F-1603E5470F6E}"/>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4862-492F-906F-1603E5470F6E}"/>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4862-492F-906F-1603E5470F6E}"/>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4862-492F-906F-1603E5470F6E}"/>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4862-492F-906F-1603E5470F6E}"/>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4862-492F-906F-1603E5470F6E}"/>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4862-492F-906F-1603E5470F6E}"/>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4862-492F-906F-1603E5470F6E}"/>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4862-492F-906F-1603E5470F6E}"/>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4862-492F-906F-1603E5470F6E}"/>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4862-492F-906F-1603E5470F6E}"/>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4862-492F-906F-1603E5470F6E}"/>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4862-492F-906F-1603E5470F6E}"/>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4862-492F-906F-1603E5470F6E}"/>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4862-492F-906F-1603E5470F6E}"/>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4862-492F-906F-1603E5470F6E}"/>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4862-492F-906F-1603E5470F6E}"/>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4862-492F-906F-1603E5470F6E}"/>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4862-492F-906F-1603E5470F6E}"/>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4862-492F-906F-1603E5470F6E}"/>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4862-492F-906F-1603E5470F6E}"/>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4862-492F-906F-1603E5470F6E}"/>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4862-492F-906F-1603E5470F6E}"/>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4862-492F-906F-1603E5470F6E}"/>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4862-492F-906F-1603E5470F6E}"/>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4862-492F-906F-1603E5470F6E}"/>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4862-492F-906F-1603E5470F6E}"/>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4862-492F-906F-1603E5470F6E}"/>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4862-492F-906F-1603E5470F6E}"/>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4862-492F-906F-1603E5470F6E}"/>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4862-492F-906F-1603E5470F6E}"/>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4862-492F-906F-1603E5470F6E}"/>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4862-492F-906F-1603E5470F6E}"/>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4862-492F-906F-1603E5470F6E}"/>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4862-492F-906F-1603E5470F6E}"/>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4862-492F-906F-1603E5470F6E}"/>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4862-492F-906F-1603E5470F6E}"/>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4862-492F-906F-1603E5470F6E}"/>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4862-492F-906F-1603E5470F6E}"/>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4862-492F-906F-1603E5470F6E}"/>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4862-492F-906F-1603E5470F6E}"/>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4862-492F-906F-1603E5470F6E}"/>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4862-492F-906F-1603E5470F6E}"/>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4862-492F-906F-1603E5470F6E}"/>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4862-492F-906F-1603E5470F6E}"/>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4862-492F-906F-1603E5470F6E}"/>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4862-492F-906F-1603E5470F6E}"/>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4862-492F-906F-1603E5470F6E}"/>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4862-492F-906F-1603E5470F6E}"/>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4862-492F-906F-1603E5470F6E}"/>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4862-492F-906F-1603E5470F6E}"/>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4862-492F-906F-1603E5470F6E}"/>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4862-492F-906F-1603E5470F6E}"/>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4862-492F-906F-1603E5470F6E}"/>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4862-492F-906F-1603E5470F6E}"/>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4862-492F-906F-1603E5470F6E}"/>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4862-492F-906F-1603E5470F6E}"/>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4862-492F-906F-1603E5470F6E}"/>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4862-492F-906F-1603E5470F6E}"/>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4862-492F-906F-1603E5470F6E}"/>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4862-492F-906F-1603E5470F6E}"/>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4862-492F-906F-1603E5470F6E}"/>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4862-492F-906F-1603E5470F6E}"/>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4862-492F-906F-1603E5470F6E}"/>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4862-492F-906F-1603E5470F6E}"/>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4862-492F-906F-1603E5470F6E}"/>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4862-492F-906F-1603E5470F6E}"/>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4862-492F-906F-1603E5470F6E}"/>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4862-492F-906F-1603E5470F6E}"/>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4862-492F-906F-1603E5470F6E}"/>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4862-492F-906F-1603E5470F6E}"/>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4862-492F-906F-1603E5470F6E}"/>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4862-492F-906F-1603E5470F6E}"/>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4862-492F-906F-1603E5470F6E}"/>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4862-492F-906F-1603E5470F6E}"/>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4862-492F-906F-1603E5470F6E}"/>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4862-492F-906F-1603E5470F6E}"/>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4862-492F-906F-1603E5470F6E}"/>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4862-492F-906F-1603E5470F6E}"/>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4862-492F-906F-1603E5470F6E}"/>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4862-492F-906F-1603E5470F6E}"/>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4862-492F-906F-1603E5470F6E}"/>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4862-492F-906F-1603E5470F6E}"/>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4862-492F-906F-1603E5470F6E}"/>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4862-492F-906F-1603E5470F6E}"/>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4862-492F-906F-1603E5470F6E}"/>
              </c:ext>
            </c:extLst>
          </c:dPt>
          <c:cat>
            <c:strRef>
              <c:f>'5brand wise sales'!$A$4:$A$5</c:f>
              <c:strCache>
                <c:ptCount val="1"/>
                <c:pt idx="0">
                  <c:v>1008-Brass Instrument Cleaning Tools</c:v>
                </c:pt>
              </c:strCache>
            </c:strRef>
          </c:cat>
          <c:val>
            <c:numRef>
              <c:f>'5brand wise sales'!$B$4:$B$5</c:f>
              <c:numCache>
                <c:formatCode>General</c:formatCode>
                <c:ptCount val="1"/>
                <c:pt idx="0">
                  <c:v>240</c:v>
                </c:pt>
              </c:numCache>
            </c:numRef>
          </c:val>
          <c:extLst>
            <c:ext xmlns:c16="http://schemas.microsoft.com/office/drawing/2014/chart" uri="{C3380CC4-5D6E-409C-BE32-E72D297353CC}">
              <c16:uniqueId val="{00000000-1E11-4314-9F4C-90D3CFCF60D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DASHBOARD.xlsx]6Gross profit!PivotTable2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GROSS PROFIT</a:t>
            </a:r>
          </a:p>
        </c:rich>
      </c:tx>
      <c:layout>
        <c:manualLayout>
          <c:xMode val="edge"/>
          <c:yMode val="edge"/>
          <c:x val="0.34113888888888888"/>
          <c:y val="6.84237386993292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'6Gross profit'!$B$3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'6Gross profit'!$A$4:$A$18</c:f>
              <c:strCache>
                <c:ptCount val="14"/>
                <c:pt idx="0">
                  <c:v>31-10-2019 10:33</c:v>
                </c:pt>
                <c:pt idx="1">
                  <c:v>03-11-2019 00:50</c:v>
                </c:pt>
                <c:pt idx="2">
                  <c:v>17-11-2019 12:19</c:v>
                </c:pt>
                <c:pt idx="3">
                  <c:v>20-10-2020 01:19</c:v>
                </c:pt>
                <c:pt idx="4">
                  <c:v>28-11-2020 17:08</c:v>
                </c:pt>
                <c:pt idx="5">
                  <c:v>05-10-2021 04:16</c:v>
                </c:pt>
                <c:pt idx="6">
                  <c:v>31-10-2021 13:55</c:v>
                </c:pt>
                <c:pt idx="7">
                  <c:v>02-11-2021 08:13</c:v>
                </c:pt>
                <c:pt idx="8">
                  <c:v>19-11-2021 03:20</c:v>
                </c:pt>
                <c:pt idx="9">
                  <c:v>24-11-2021 17:37</c:v>
                </c:pt>
                <c:pt idx="10">
                  <c:v>21-10-2022 20:52</c:v>
                </c:pt>
                <c:pt idx="11">
                  <c:v>26-10-2022 15:51</c:v>
                </c:pt>
                <c:pt idx="12">
                  <c:v>29-10-2022 13:07</c:v>
                </c:pt>
                <c:pt idx="13">
                  <c:v>29-11-2022 13:41</c:v>
                </c:pt>
              </c:strCache>
            </c:strRef>
          </c:cat>
          <c:val>
            <c:numRef>
              <c:f>'6Gross profit'!$B$4:$B$18</c:f>
              <c:numCache>
                <c:formatCode>General</c:formatCode>
                <c:ptCount val="14"/>
                <c:pt idx="0">
                  <c:v>38.392523363999999</c:v>
                </c:pt>
                <c:pt idx="1">
                  <c:v>38.738317757000004</c:v>
                </c:pt>
                <c:pt idx="2">
                  <c:v>99.888888889999976</c:v>
                </c:pt>
                <c:pt idx="3">
                  <c:v>36.929906541999998</c:v>
                </c:pt>
                <c:pt idx="4">
                  <c:v>82.40740740999999</c:v>
                </c:pt>
                <c:pt idx="5">
                  <c:v>77.130841121000003</c:v>
                </c:pt>
                <c:pt idx="6">
                  <c:v>68.766355140000002</c:v>
                </c:pt>
                <c:pt idx="7">
                  <c:v>65.028037380000001</c:v>
                </c:pt>
                <c:pt idx="8">
                  <c:v>79.111111109999996</c:v>
                </c:pt>
                <c:pt idx="9">
                  <c:v>248.18518519000003</c:v>
                </c:pt>
                <c:pt idx="10">
                  <c:v>261.38785046700002</c:v>
                </c:pt>
                <c:pt idx="11">
                  <c:v>96.939252339999996</c:v>
                </c:pt>
                <c:pt idx="12">
                  <c:v>121.40186915999999</c:v>
                </c:pt>
                <c:pt idx="13">
                  <c:v>77.783068783000004</c:v>
                </c:pt>
              </c:numCache>
            </c:numRef>
          </c:val>
          <c:extLst>
            <c:ext xmlns:c16="http://schemas.microsoft.com/office/drawing/2014/chart" uri="{C3380CC4-5D6E-409C-BE32-E72D297353CC}">
              <c16:uniqueId val="{00000000-5365-4A5F-B7E7-943E6752202B}"/>
            </c:ext>
          </c:extLst>
        </c:ser>
        <c:dLbls>
          <c:showLegendKey val="0"/>
          <c:showVal val="0"/>
          <c:showCatName val="0"/>
          <c:showSerName val="0"/>
          <c:showPercent val="0"/>
          <c:showBubbleSize val="0"/>
        </c:dLbls>
        <c:gapWidth val="150"/>
        <c:overlap val="100"/>
        <c:axId val="1554160816"/>
        <c:axId val="1554174736"/>
      </c:barChart>
      <c:catAx>
        <c:axId val="15541608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4174736"/>
        <c:crosses val="autoZero"/>
        <c:auto val="1"/>
        <c:lblAlgn val="ctr"/>
        <c:lblOffset val="100"/>
        <c:noMultiLvlLbl val="0"/>
      </c:catAx>
      <c:valAx>
        <c:axId val="15541747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416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DASHBOARD.xlsx]11 total profit region!PivotTable40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TOTAL</a:t>
            </a:r>
            <a:r>
              <a:rPr lang="en-IN" b="1" baseline="0">
                <a:solidFill>
                  <a:srgbClr val="FF0000"/>
                </a:solidFill>
              </a:rPr>
              <a:t> PROFIT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'11 total profit region'!$B$3</c:f>
              <c:strCache>
                <c:ptCount val="1"/>
                <c:pt idx="0">
                  <c:v>Total</c:v>
                </c:pt>
              </c:strCache>
            </c:strRef>
          </c:tx>
          <c:spPr>
            <a:solidFill>
              <a:schemeClr val="accent1"/>
            </a:solidFill>
            <a:ln>
              <a:noFill/>
            </a:ln>
            <a:effectLst/>
          </c:spPr>
          <c:invertIfNegative val="0"/>
          <c:cat>
            <c:strRef>
              <c:f>'11 total profit region'!$A$4:$A$9</c:f>
              <c:strCache>
                <c:ptCount val="5"/>
                <c:pt idx="0">
                  <c:v>East</c:v>
                </c:pt>
                <c:pt idx="1">
                  <c:v>Midwest</c:v>
                </c:pt>
                <c:pt idx="2">
                  <c:v>South</c:v>
                </c:pt>
                <c:pt idx="3">
                  <c:v>Southwest</c:v>
                </c:pt>
                <c:pt idx="4">
                  <c:v>West</c:v>
                </c:pt>
              </c:strCache>
            </c:strRef>
          </c:cat>
          <c:val>
            <c:numRef>
              <c:f>'11 total profit region'!$B$4:$B$9</c:f>
              <c:numCache>
                <c:formatCode>#,##0,"K"</c:formatCode>
                <c:ptCount val="5"/>
                <c:pt idx="0">
                  <c:v>1632.5602891270003</c:v>
                </c:pt>
                <c:pt idx="1">
                  <c:v>2421.215989451</c:v>
                </c:pt>
                <c:pt idx="2">
                  <c:v>5284.5541495800007</c:v>
                </c:pt>
                <c:pt idx="3">
                  <c:v>2067.3794902830005</c:v>
                </c:pt>
                <c:pt idx="4">
                  <c:v>4060.2434544729999</c:v>
                </c:pt>
              </c:numCache>
            </c:numRef>
          </c:val>
          <c:extLst>
            <c:ext xmlns:c16="http://schemas.microsoft.com/office/drawing/2014/chart" uri="{C3380CC4-5D6E-409C-BE32-E72D297353CC}">
              <c16:uniqueId val="{00000000-8603-4AE0-8E09-494DAE00D3D0}"/>
            </c:ext>
          </c:extLst>
        </c:ser>
        <c:dLbls>
          <c:showLegendKey val="0"/>
          <c:showVal val="0"/>
          <c:showCatName val="0"/>
          <c:showSerName val="0"/>
          <c:showPercent val="0"/>
          <c:showBubbleSize val="0"/>
        </c:dLbls>
        <c:gapWidth val="150"/>
        <c:overlap val="100"/>
        <c:axId val="1260093855"/>
        <c:axId val="1260092415"/>
      </c:barChart>
      <c:catAx>
        <c:axId val="126009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92415"/>
        <c:crosses val="autoZero"/>
        <c:auto val="1"/>
        <c:lblAlgn val="ctr"/>
        <c:lblOffset val="100"/>
        <c:noMultiLvlLbl val="0"/>
      </c:catAx>
      <c:valAx>
        <c:axId val="126009241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9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DASHBOARD.xlsx]11 profit margin!PivotTable4</c:name>
    <c:fmtId val="1"/>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'11 profit margin'!$A$3</c:f>
              <c:strCache>
                <c:ptCount val="1"/>
                <c:pt idx="0">
                  <c:v>Total</c:v>
                </c:pt>
              </c:strCache>
            </c:strRef>
          </c:tx>
          <c:spPr>
            <a:pattFill prst="ltUpDiag">
              <a:fgClr>
                <a:schemeClr val="accent1"/>
              </a:fgClr>
              <a:bgClr>
                <a:schemeClr val="lt1"/>
              </a:bgClr>
            </a:pattFill>
            <a:ln>
              <a:noFill/>
            </a:ln>
            <a:effectLst/>
          </c:spPr>
          <c:invertIfNegative val="0"/>
          <c:cat>
            <c:strRef>
              <c:f>'11 profit margin'!$A$4</c:f>
              <c:strCache>
                <c:ptCount val="1"/>
                <c:pt idx="0">
                  <c:v>Total</c:v>
                </c:pt>
              </c:strCache>
            </c:strRef>
          </c:cat>
          <c:val>
            <c:numRef>
              <c:f>'11 profit margin'!$A$4</c:f>
              <c:numCache>
                <c:formatCode>General</c:formatCode>
                <c:ptCount val="1"/>
                <c:pt idx="0">
                  <c:v>2837.940879148262</c:v>
                </c:pt>
              </c:numCache>
            </c:numRef>
          </c:val>
          <c:extLst>
            <c:ext xmlns:c16="http://schemas.microsoft.com/office/drawing/2014/chart" uri="{C3380CC4-5D6E-409C-BE32-E72D297353CC}">
              <c16:uniqueId val="{00000000-173F-41FF-89D7-2FBB47BF9812}"/>
            </c:ext>
          </c:extLst>
        </c:ser>
        <c:dLbls>
          <c:showLegendKey val="0"/>
          <c:showVal val="0"/>
          <c:showCatName val="0"/>
          <c:showSerName val="0"/>
          <c:showPercent val="0"/>
          <c:showBubbleSize val="0"/>
        </c:dLbls>
        <c:gapWidth val="269"/>
        <c:overlap val="-20"/>
        <c:axId val="463552544"/>
        <c:axId val="463549184"/>
      </c:barChart>
      <c:catAx>
        <c:axId val="463552544"/>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63549184"/>
        <c:crosses val="autoZero"/>
        <c:auto val="1"/>
        <c:lblAlgn val="ctr"/>
        <c:lblOffset val="100"/>
        <c:noMultiLvlLbl val="0"/>
      </c:catAx>
      <c:valAx>
        <c:axId val="46354918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6355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DASHBOARD.xlsx]11uniique order region!PivotTable5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'11uniique order region'!$B$3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448-4E15-9612-8DB527A0E20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448-4E15-9612-8DB527A0E20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448-4E15-9612-8DB527A0E20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448-4E15-9612-8DB527A0E20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448-4E15-9612-8DB527A0E209}"/>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'11uniique order region'!$A$4:$A$9</c:f>
              <c:strCache>
                <c:ptCount val="5"/>
                <c:pt idx="0">
                  <c:v>East</c:v>
                </c:pt>
                <c:pt idx="1">
                  <c:v>Midwest</c:v>
                </c:pt>
                <c:pt idx="2">
                  <c:v>South</c:v>
                </c:pt>
                <c:pt idx="3">
                  <c:v>Southwest</c:v>
                </c:pt>
                <c:pt idx="4">
                  <c:v>West</c:v>
                </c:pt>
              </c:strCache>
            </c:strRef>
          </c:cat>
          <c:val>
            <c:numRef>
              <c:f>'11uniique order region'!$B$4:$B$9</c:f>
              <c:numCache>
                <c:formatCode>General</c:formatCode>
                <c:ptCount val="5"/>
                <c:pt idx="0">
                  <c:v>3</c:v>
                </c:pt>
                <c:pt idx="1">
                  <c:v>3</c:v>
                </c:pt>
                <c:pt idx="2">
                  <c:v>2</c:v>
                </c:pt>
                <c:pt idx="3">
                  <c:v>2</c:v>
                </c:pt>
                <c:pt idx="4">
                  <c:v>4</c:v>
                </c:pt>
              </c:numCache>
            </c:numRef>
          </c:val>
          <c:extLst>
            <c:ext xmlns:c16="http://schemas.microsoft.com/office/drawing/2014/chart" uri="{C3380CC4-5D6E-409C-BE32-E72D297353CC}">
              <c16:uniqueId val="{00000000-6D1B-4047-999E-85E7C987831D}"/>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DASHBOARD.xlsx]7product in inventory!PivotTable18</c:name>
    <c:fmtId val="1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'7product in inventory'!$B$3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'7product in inventory'!$A$4:$A$5</c:f>
              <c:strCache>
                <c:ptCount val="1"/>
                <c:pt idx="0">
                  <c:v>1008-Brass Instrument Cleaning Tools</c:v>
                </c:pt>
              </c:strCache>
            </c:strRef>
          </c:cat>
          <c:val>
            <c:numRef>
              <c:f>'7product in inventory'!$B$4:$B$5</c:f>
              <c:numCache>
                <c:formatCode>General</c:formatCode>
                <c:ptCount val="1"/>
                <c:pt idx="0">
                  <c:v>2</c:v>
                </c:pt>
              </c:numCache>
            </c:numRef>
          </c:val>
          <c:extLst>
            <c:ext xmlns:c16="http://schemas.microsoft.com/office/drawing/2014/chart" uri="{C3380CC4-5D6E-409C-BE32-E72D297353CC}">
              <c16:uniqueId val="{00000000-6A90-446D-9AFD-A5F4EB2D3208}"/>
            </c:ext>
          </c:extLst>
        </c:ser>
        <c:dLbls>
          <c:dLblPos val="inEnd"/>
          <c:showLegendKey val="0"/>
          <c:showVal val="1"/>
          <c:showCatName val="0"/>
          <c:showSerName val="0"/>
          <c:showPercent val="0"/>
          <c:showBubbleSize val="0"/>
        </c:dLbls>
        <c:gapWidth val="65"/>
        <c:axId val="324290656"/>
        <c:axId val="324289216"/>
      </c:barChart>
      <c:catAx>
        <c:axId val="3242906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4289216"/>
        <c:crosses val="autoZero"/>
        <c:auto val="1"/>
        <c:lblAlgn val="ctr"/>
        <c:lblOffset val="100"/>
        <c:noMultiLvlLbl val="0"/>
      </c:catAx>
      <c:valAx>
        <c:axId val="32428921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242906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DASHBOARD.xlsx]Out of Stock 8!PivotTable41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OVERT</a:t>
            </a:r>
            <a:r>
              <a:rPr lang="en-IN" b="1" baseline="0">
                <a:solidFill>
                  <a:srgbClr val="FF0000"/>
                </a:solidFill>
              </a:rPr>
              <a:t> STOCK,OUT OF STOCK,UNDER STOCK</a:t>
            </a:r>
            <a:endParaRPr lang="en-IN" b="1">
              <a:solidFill>
                <a:srgbClr val="FF0000"/>
              </a:solidFill>
            </a:endParaRPr>
          </a:p>
        </c:rich>
      </c:tx>
      <c:layout>
        <c:manualLayout>
          <c:xMode val="edge"/>
          <c:yMode val="edge"/>
          <c:x val="0.20476194674767254"/>
          <c:y val="5.60536192345812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'Out of Stock 8'!$B$3:$B$4</c:f>
              <c:strCache>
                <c:ptCount val="1"/>
                <c:pt idx="0">
                  <c:v>over stock</c:v>
                </c:pt>
              </c:strCache>
            </c:strRef>
          </c:tx>
          <c:spPr>
            <a:solidFill>
              <a:schemeClr val="accent1"/>
            </a:solidFill>
            <a:ln>
              <a:noFill/>
            </a:ln>
            <a:effectLst/>
          </c:spPr>
          <c:invertIfNegative val="0"/>
          <c:cat>
            <c:strRef>
              <c:f>'Out of Stock 8'!$A$5:$A$19</c:f>
              <c:strCache>
                <c:ptCount val="14"/>
                <c:pt idx="0">
                  <c:v>1008-Brass Instrument Cleaning Tools</c:v>
                </c:pt>
                <c:pt idx="1">
                  <c:v>118-iPhone 6s 16GB   Gold (AT&amp;T)</c:v>
                </c:pt>
                <c:pt idx="2">
                  <c:v>319-EX Earbud Headphones   White</c:v>
                </c:pt>
                <c:pt idx="3">
                  <c:v>334-urBeats Earbud Headphones   Black</c:v>
                </c:pt>
                <c:pt idx="4">
                  <c:v>336-EX Series Earbud Headphones   Black</c:v>
                </c:pt>
                <c:pt idx="5">
                  <c:v>351-Geek Squad Certified Refurbished iPod nano® 16GB MP3 Player (8th Generation   Latest Model)   Space Gray</c:v>
                </c:pt>
                <c:pt idx="6">
                  <c:v>354-Geek Squad Certified Refurbished iPod touch® 16GB MP3 Player (6th Generation   Latest Model)   Gold</c:v>
                </c:pt>
                <c:pt idx="7">
                  <c:v>38-65" Class (64.5" Diag.)   LED   Curved</c:v>
                </c:pt>
                <c:pt idx="8">
                  <c:v>392-iPod touch® 16GB MP3 Player (6th Generation   Latest Model)   Silver</c:v>
                </c:pt>
                <c:pt idx="9">
                  <c:v>65-Survivor Slim Case for Apple® iPod® touch 5th Generation   Turquoise/Lemon</c:v>
                </c:pt>
                <c:pt idx="10">
                  <c:v>66-Plus Portable Bluetooth Speaker   Pink</c:v>
                </c:pt>
                <c:pt idx="11">
                  <c:v>766-Coolpix S9900 16.0 Megapixel Digital Camera   Black</c:v>
                </c:pt>
                <c:pt idx="12">
                  <c:v>870-iPhone 6s Plus 64GB   Silver (Sprint)</c:v>
                </c:pt>
                <c:pt idx="13">
                  <c:v>93-Courier Clip Case for Apple® iPod® nano 7th Generation   Black</c:v>
                </c:pt>
              </c:strCache>
            </c:strRef>
          </c:cat>
          <c:val>
            <c:numRef>
              <c:f>'Out of Stock 8'!$B$5:$B$19</c:f>
              <c:numCache>
                <c:formatCode>General</c:formatCode>
                <c:ptCount val="14"/>
                <c:pt idx="1">
                  <c:v>2</c:v>
                </c:pt>
                <c:pt idx="3">
                  <c:v>3</c:v>
                </c:pt>
                <c:pt idx="4">
                  <c:v>3</c:v>
                </c:pt>
                <c:pt idx="5">
                  <c:v>3</c:v>
                </c:pt>
                <c:pt idx="6">
                  <c:v>2</c:v>
                </c:pt>
                <c:pt idx="7">
                  <c:v>2</c:v>
                </c:pt>
                <c:pt idx="8">
                  <c:v>2</c:v>
                </c:pt>
                <c:pt idx="10">
                  <c:v>3</c:v>
                </c:pt>
                <c:pt idx="13">
                  <c:v>2</c:v>
                </c:pt>
              </c:numCache>
            </c:numRef>
          </c:val>
          <c:extLst>
            <c:ext xmlns:c16="http://schemas.microsoft.com/office/drawing/2014/chart" uri="{C3380CC4-5D6E-409C-BE32-E72D297353CC}">
              <c16:uniqueId val="{00000000-D359-4530-BC0B-546452FF5D5D}"/>
            </c:ext>
          </c:extLst>
        </c:ser>
        <c:ser>
          <c:idx val="1"/>
          <c:order val="1"/>
          <c:tx>
            <c:strRef>
              <c:f>'Out of Stock 8'!$C$3:$C$4</c:f>
              <c:strCache>
                <c:ptCount val="1"/>
                <c:pt idx="0">
                  <c:v>under stock</c:v>
                </c:pt>
              </c:strCache>
            </c:strRef>
          </c:tx>
          <c:spPr>
            <a:solidFill>
              <a:schemeClr val="accent2"/>
            </a:solidFill>
            <a:ln>
              <a:noFill/>
            </a:ln>
            <a:effectLst/>
          </c:spPr>
          <c:invertIfNegative val="0"/>
          <c:cat>
            <c:strRef>
              <c:f>'Out of Stock 8'!$A$5:$A$19</c:f>
              <c:strCache>
                <c:ptCount val="14"/>
                <c:pt idx="0">
                  <c:v>1008-Brass Instrument Cleaning Tools</c:v>
                </c:pt>
                <c:pt idx="1">
                  <c:v>118-iPhone 6s 16GB   Gold (AT&amp;T)</c:v>
                </c:pt>
                <c:pt idx="2">
                  <c:v>319-EX Earbud Headphones   White</c:v>
                </c:pt>
                <c:pt idx="3">
                  <c:v>334-urBeats Earbud Headphones   Black</c:v>
                </c:pt>
                <c:pt idx="4">
                  <c:v>336-EX Series Earbud Headphones   Black</c:v>
                </c:pt>
                <c:pt idx="5">
                  <c:v>351-Geek Squad Certified Refurbished iPod nano® 16GB MP3 Player (8th Generation   Latest Model)   Space Gray</c:v>
                </c:pt>
                <c:pt idx="6">
                  <c:v>354-Geek Squad Certified Refurbished iPod touch® 16GB MP3 Player (6th Generation   Latest Model)   Gold</c:v>
                </c:pt>
                <c:pt idx="7">
                  <c:v>38-65" Class (64.5" Diag.)   LED   Curved</c:v>
                </c:pt>
                <c:pt idx="8">
                  <c:v>392-iPod touch® 16GB MP3 Player (6th Generation   Latest Model)   Silver</c:v>
                </c:pt>
                <c:pt idx="9">
                  <c:v>65-Survivor Slim Case for Apple® iPod® touch 5th Generation   Turquoise/Lemon</c:v>
                </c:pt>
                <c:pt idx="10">
                  <c:v>66-Plus Portable Bluetooth Speaker   Pink</c:v>
                </c:pt>
                <c:pt idx="11">
                  <c:v>766-Coolpix S9900 16.0 Megapixel Digital Camera   Black</c:v>
                </c:pt>
                <c:pt idx="12">
                  <c:v>870-iPhone 6s Plus 64GB   Silver (Sprint)</c:v>
                </c:pt>
                <c:pt idx="13">
                  <c:v>93-Courier Clip Case for Apple® iPod® nano 7th Generation   Black</c:v>
                </c:pt>
              </c:strCache>
            </c:strRef>
          </c:cat>
          <c:val>
            <c:numRef>
              <c:f>'Out of Stock 8'!$C$5:$C$19</c:f>
              <c:numCache>
                <c:formatCode>General</c:formatCode>
                <c:ptCount val="14"/>
                <c:pt idx="0">
                  <c:v>1</c:v>
                </c:pt>
                <c:pt idx="2">
                  <c:v>1</c:v>
                </c:pt>
                <c:pt idx="9">
                  <c:v>1</c:v>
                </c:pt>
                <c:pt idx="11">
                  <c:v>1</c:v>
                </c:pt>
                <c:pt idx="12">
                  <c:v>1</c:v>
                </c:pt>
              </c:numCache>
            </c:numRef>
          </c:val>
          <c:extLst>
            <c:ext xmlns:c16="http://schemas.microsoft.com/office/drawing/2014/chart" uri="{C3380CC4-5D6E-409C-BE32-E72D297353CC}">
              <c16:uniqueId val="{00000001-D359-4530-BC0B-546452FF5D5D}"/>
            </c:ext>
          </c:extLst>
        </c:ser>
        <c:dLbls>
          <c:showLegendKey val="0"/>
          <c:showVal val="0"/>
          <c:showCatName val="0"/>
          <c:showSerName val="0"/>
          <c:showPercent val="0"/>
          <c:showBubbleSize val="0"/>
        </c:dLbls>
        <c:gapWidth val="150"/>
        <c:overlap val="100"/>
        <c:axId val="1372620767"/>
        <c:axId val="1372621247"/>
      </c:barChart>
      <c:catAx>
        <c:axId val="137262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621247"/>
        <c:crosses val="autoZero"/>
        <c:auto val="1"/>
        <c:lblAlgn val="ctr"/>
        <c:lblOffset val="100"/>
        <c:noMultiLvlLbl val="0"/>
      </c:catAx>
      <c:valAx>
        <c:axId val="1372621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62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DASHBOARD.xlsx]9inventory value!PivotTable36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rgbClr val="FF0000"/>
                </a:solidFill>
              </a:rPr>
              <a:t>INVENTORY</a:t>
            </a:r>
            <a:r>
              <a:rPr lang="en-IN" sz="2000" b="1" baseline="0">
                <a:solidFill>
                  <a:srgbClr val="FF0000"/>
                </a:solidFill>
              </a:rPr>
              <a:t> VALUE</a:t>
            </a:r>
            <a:endParaRPr lang="en-IN" sz="2000" b="1">
              <a:solidFill>
                <a:srgbClr val="FF0000"/>
              </a:solidFill>
            </a:endParaRPr>
          </a:p>
        </c:rich>
      </c:tx>
      <c:layout>
        <c:manualLayout>
          <c:xMode val="edge"/>
          <c:yMode val="edge"/>
          <c:x val="0.34863144407162755"/>
          <c:y val="4.67944487635338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'9inventory value'!$B$3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B0-4B9A-BED3-552029A8BF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B0-4B9A-BED3-552029A8BF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B0-4B9A-BED3-552029A8BF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B0-4B9A-BED3-552029A8BFA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0B0-4B9A-BED3-552029A8BFA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0B0-4B9A-BED3-552029A8BFA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0B0-4B9A-BED3-552029A8BFA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0B0-4B9A-BED3-552029A8BFA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0B0-4B9A-BED3-552029A8BFA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0B0-4B9A-BED3-552029A8BFA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0B0-4B9A-BED3-552029A8BFA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0B0-4B9A-BED3-552029A8BFA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0B0-4B9A-BED3-552029A8BFA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0B0-4B9A-BED3-552029A8BFA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0B0-4B9A-BED3-552029A8BFA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80B0-4B9A-BED3-552029A8BFA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80B0-4B9A-BED3-552029A8BFA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80B0-4B9A-BED3-552029A8BFA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80B0-4B9A-BED3-552029A8BFAC}"/>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80B0-4B9A-BED3-552029A8BFAC}"/>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80B0-4B9A-BED3-552029A8BFAC}"/>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80B0-4B9A-BED3-552029A8BFAC}"/>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80B0-4B9A-BED3-552029A8BFAC}"/>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80B0-4B9A-BED3-552029A8BFAC}"/>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80B0-4B9A-BED3-552029A8BFAC}"/>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80B0-4B9A-BED3-552029A8BFAC}"/>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80B0-4B9A-BED3-552029A8BFAC}"/>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80B0-4B9A-BED3-552029A8BFAC}"/>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80B0-4B9A-BED3-552029A8BFAC}"/>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80B0-4B9A-BED3-552029A8BFAC}"/>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80B0-4B9A-BED3-552029A8BFAC}"/>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80B0-4B9A-BED3-552029A8BFAC}"/>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80B0-4B9A-BED3-552029A8BFAC}"/>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80B0-4B9A-BED3-552029A8BFAC}"/>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80B0-4B9A-BED3-552029A8BFAC}"/>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80B0-4B9A-BED3-552029A8BFAC}"/>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80B0-4B9A-BED3-552029A8BFAC}"/>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80B0-4B9A-BED3-552029A8BFAC}"/>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80B0-4B9A-BED3-552029A8BFAC}"/>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80B0-4B9A-BED3-552029A8BFAC}"/>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80B0-4B9A-BED3-552029A8BFAC}"/>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80B0-4B9A-BED3-552029A8BFAC}"/>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80B0-4B9A-BED3-552029A8BFAC}"/>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80B0-4B9A-BED3-552029A8BFAC}"/>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80B0-4B9A-BED3-552029A8BFAC}"/>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80B0-4B9A-BED3-552029A8BFAC}"/>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80B0-4B9A-BED3-552029A8BFAC}"/>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80B0-4B9A-BED3-552029A8BFAC}"/>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80B0-4B9A-BED3-552029A8BFAC}"/>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80B0-4B9A-BED3-552029A8BFAC}"/>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80B0-4B9A-BED3-552029A8BFAC}"/>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80B0-4B9A-BED3-552029A8BFAC}"/>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80B0-4B9A-BED3-552029A8BFAC}"/>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80B0-4B9A-BED3-552029A8BFAC}"/>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80B0-4B9A-BED3-552029A8BFAC}"/>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80B0-4B9A-BED3-552029A8BFAC}"/>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80B0-4B9A-BED3-552029A8BFAC}"/>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80B0-4B9A-BED3-552029A8BFAC}"/>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80B0-4B9A-BED3-552029A8BFAC}"/>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80B0-4B9A-BED3-552029A8BFAC}"/>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80B0-4B9A-BED3-552029A8BFAC}"/>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80B0-4B9A-BED3-552029A8BFAC}"/>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80B0-4B9A-BED3-552029A8BFAC}"/>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80B0-4B9A-BED3-552029A8BFAC}"/>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80B0-4B9A-BED3-552029A8BFAC}"/>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80B0-4B9A-BED3-552029A8BFAC}"/>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80B0-4B9A-BED3-552029A8BFAC}"/>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80B0-4B9A-BED3-552029A8BFAC}"/>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80B0-4B9A-BED3-552029A8BFAC}"/>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80B0-4B9A-BED3-552029A8BFAC}"/>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80B0-4B9A-BED3-552029A8BFAC}"/>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80B0-4B9A-BED3-552029A8BFAC}"/>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80B0-4B9A-BED3-552029A8BFAC}"/>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80B0-4B9A-BED3-552029A8BFAC}"/>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80B0-4B9A-BED3-552029A8BFAC}"/>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80B0-4B9A-BED3-552029A8BFAC}"/>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80B0-4B9A-BED3-552029A8BFAC}"/>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80B0-4B9A-BED3-552029A8BFAC}"/>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80B0-4B9A-BED3-552029A8BFAC}"/>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80B0-4B9A-BED3-552029A8BFAC}"/>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80B0-4B9A-BED3-552029A8BFAC}"/>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80B0-4B9A-BED3-552029A8BFAC}"/>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80B0-4B9A-BED3-552029A8BFAC}"/>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80B0-4B9A-BED3-552029A8BFAC}"/>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80B0-4B9A-BED3-552029A8BFAC}"/>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80B0-4B9A-BED3-552029A8BFAC}"/>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80B0-4B9A-BED3-552029A8BFAC}"/>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80B0-4B9A-BED3-552029A8BFAC}"/>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80B0-4B9A-BED3-552029A8BFAC}"/>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80B0-4B9A-BED3-552029A8BFAC}"/>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80B0-4B9A-BED3-552029A8BFAC}"/>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80B0-4B9A-BED3-552029A8BFAC}"/>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80B0-4B9A-BED3-552029A8BFAC}"/>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80B0-4B9A-BED3-552029A8BFAC}"/>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80B0-4B9A-BED3-552029A8BFAC}"/>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80B0-4B9A-BED3-552029A8BFAC}"/>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80B0-4B9A-BED3-552029A8BFAC}"/>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80B0-4B9A-BED3-552029A8BFAC}"/>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80B0-4B9A-BED3-552029A8BFAC}"/>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80B0-4B9A-BED3-552029A8BFAC}"/>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80B0-4B9A-BED3-552029A8BFAC}"/>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80B0-4B9A-BED3-552029A8BFAC}"/>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80B0-4B9A-BED3-552029A8BFAC}"/>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80B0-4B9A-BED3-552029A8BFAC}"/>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80B0-4B9A-BED3-552029A8BFAC}"/>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80B0-4B9A-BED3-552029A8BFAC}"/>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80B0-4B9A-BED3-552029A8BFAC}"/>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80B0-4B9A-BED3-552029A8BFAC}"/>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80B0-4B9A-BED3-552029A8BFAC}"/>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80B0-4B9A-BED3-552029A8BFAC}"/>
              </c:ext>
            </c:extLst>
          </c:dPt>
          <c:cat>
            <c:strRef>
              <c:f>'9inventory value'!$A$4:$A$114</c:f>
              <c:strCache>
                <c:ptCount val="110"/>
                <c:pt idx="0">
                  <c:v>1008-Brass Instrument Cleaning Tools</c:v>
                </c:pt>
                <c:pt idx="1">
                  <c:v>1018-Clarinet Cases &amp; Gigbags</c:v>
                </c:pt>
                <c:pt idx="2">
                  <c:v>1028-Craft &amp; Office Glue</c:v>
                </c:pt>
                <c:pt idx="3">
                  <c:v>1030-Craft Cutters &amp; Embossers</c:v>
                </c:pt>
                <c:pt idx="4">
                  <c:v>1047-Drum Pedals</c:v>
                </c:pt>
                <c:pt idx="5">
                  <c:v>104-Galaxy Note5 4G LTE with 32GB Memory Cell Phone   White Pearl (AT&amp;T)</c:v>
                </c:pt>
                <c:pt idx="6">
                  <c:v>1050-Electric Guitar Pickups</c:v>
                </c:pt>
                <c:pt idx="7">
                  <c:v>1053-Eyelets &amp; Grommets</c:v>
                </c:pt>
                <c:pt idx="8">
                  <c:v>1056-Felting Needles &amp; Machines</c:v>
                </c:pt>
                <c:pt idx="9">
                  <c:v>1059-Finger &amp; Hand Cymbals</c:v>
                </c:pt>
                <c:pt idx="10">
                  <c:v>1060-Floral Tape</c:v>
                </c:pt>
                <c:pt idx="11">
                  <c:v>1061-Floral Wire</c:v>
                </c:pt>
                <c:pt idx="12">
                  <c:v>1064-Flute Parts</c:v>
                </c:pt>
                <c:pt idx="13">
                  <c:v>1069-Guitar Cases &amp; Gig Bags</c:v>
                </c:pt>
                <c:pt idx="14">
                  <c:v>1075-Guitar Straps</c:v>
                </c:pt>
                <c:pt idx="15">
                  <c:v>1079-Hand Bells &amp; Chimes</c:v>
                </c:pt>
                <c:pt idx="16">
                  <c:v>1083-Hand Percussion Stands &amp; Mounts</c:v>
                </c:pt>
                <c:pt idx="17">
                  <c:v>1087-Harmonica Holders</c:v>
                </c:pt>
                <c:pt idx="18">
                  <c:v>1089-Hockey Fan Accessories</c:v>
                </c:pt>
                <c:pt idx="19">
                  <c:v>1095-Jewelry Findings</c:v>
                </c:pt>
                <c:pt idx="20">
                  <c:v>1096-Knitting Needles</c:v>
                </c:pt>
                <c:pt idx="21">
                  <c:v>118-iPhone 6s 16GB   Gold (AT&amp;T)</c:v>
                </c:pt>
                <c:pt idx="22">
                  <c:v>131-Galaxy S6 4G with 32GB Memory Cell Phone   White Pearl (AT&amp;T)</c:v>
                </c:pt>
                <c:pt idx="23">
                  <c:v>154-Character Support Stand for Pill Speakers   Pink</c:v>
                </c:pt>
                <c:pt idx="24">
                  <c:v>158-Stanmore Bluetooth Speaker   Black</c:v>
                </c:pt>
                <c:pt idx="25">
                  <c:v>159-420W Portable Party Speaker System with Apple® iPod® and iPhone® Dock   Black</c:v>
                </c:pt>
                <c:pt idx="26">
                  <c:v>163-CallJax 3.5mm Audio Cable   Black</c:v>
                </c:pt>
                <c:pt idx="27">
                  <c:v>171-PowerBlock Micro Wall Charger for Select Apple® Devices   White</c:v>
                </c:pt>
                <c:pt idx="28">
                  <c:v>176-SoundLink® Mini Bluetooth Speaker II   Carbon</c:v>
                </c:pt>
                <c:pt idx="29">
                  <c:v>182-Portable Bluetooth Stereo Speaker   Black</c:v>
                </c:pt>
                <c:pt idx="30">
                  <c:v>183-SoundLink® Portable Bluetooth Speaker III   Silver/Black</c:v>
                </c:pt>
                <c:pt idx="31">
                  <c:v>184-SoundLink® Mini Bluetooth Speaker II   Pearl</c:v>
                </c:pt>
                <c:pt idx="32">
                  <c:v>185-Bluetooth Audio Transmitter   White</c:v>
                </c:pt>
                <c:pt idx="33">
                  <c:v>186-Flip 3 Portable Bluetooth Speaker   Black</c:v>
                </c:pt>
                <c:pt idx="34">
                  <c:v>188-SoundLink® Color Bluetooth Speaker   Blue</c:v>
                </c:pt>
                <c:pt idx="35">
                  <c:v>190-Mini Life Jacket Bluetooth Speaker   Blue</c:v>
                </c:pt>
                <c:pt idx="36">
                  <c:v>200-Hangtime Wireless Bluetooth Speaker   Black</c:v>
                </c:pt>
                <c:pt idx="37">
                  <c:v>205-65" Class (64.5" Diag.)   LED   Curved</c:v>
                </c:pt>
                <c:pt idx="38">
                  <c:v>23-M Series   55" Class (55" Diag.)</c:v>
                </c:pt>
                <c:pt idx="39">
                  <c:v>261-21.5All In One</c:v>
                </c:pt>
                <c:pt idx="40">
                  <c:v>275-Gamer Ultra Desktop   AMD FX Series</c:v>
                </c:pt>
                <c:pt idx="41">
                  <c:v>290-21.5" LED HD Monitor   Black</c:v>
                </c:pt>
                <c:pt idx="42">
                  <c:v>294-21.5" LED HD Touch Screen Monitor   Black</c:v>
                </c:pt>
                <c:pt idx="43">
                  <c:v>304-Over the Ear Wireless Headphones</c:v>
                </c:pt>
                <c:pt idx="44">
                  <c:v>308-Tone Infinim Wireless Earbud Headphones   Metallic Silver</c:v>
                </c:pt>
                <c:pt idx="45">
                  <c:v>309-Tone Pro Bluetooth Headset   Black</c:v>
                </c:pt>
                <c:pt idx="46">
                  <c:v>318-Noise Canceling Over the</c:v>
                </c:pt>
                <c:pt idx="47">
                  <c:v>319-EX Earbud Headphones   White</c:v>
                </c:pt>
                <c:pt idx="48">
                  <c:v>320-ZX Series On Ear Headphones   White</c:v>
                </c:pt>
                <c:pt idx="49">
                  <c:v>321-Earbud Headphones   Black</c:v>
                </c:pt>
                <c:pt idx="50">
                  <c:v>322-Gumy Plus Earbud Headphones   Black</c:v>
                </c:pt>
                <c:pt idx="51">
                  <c:v>325-Uproar On Ear Headphones   Black</c:v>
                </c:pt>
                <c:pt idx="52">
                  <c:v>327-20' Headphone Extension Cable and Adapter Kit   Black</c:v>
                </c:pt>
                <c:pt idx="53">
                  <c:v>328-Ink'd 2 Earbud Headphones   Blue/Black</c:v>
                </c:pt>
                <c:pt idx="54">
                  <c:v>333-Step Up EX Series Earbud Headphones   Black</c:v>
                </c:pt>
                <c:pt idx="55">
                  <c:v>334-urBeats Earbud Headphones   Black</c:v>
                </c:pt>
                <c:pt idx="56">
                  <c:v>33-65" Class (64.5" Diag.)   LED   2160p</c:v>
                </c:pt>
                <c:pt idx="57">
                  <c:v>336-EX Series Earbud Headphones   Black</c:v>
                </c:pt>
                <c:pt idx="58">
                  <c:v>342-Gumy Earbud Headphones   White</c:v>
                </c:pt>
                <c:pt idx="59">
                  <c:v>345-Step Wireless Earbud Headphones   Black</c:v>
                </c:pt>
                <c:pt idx="60">
                  <c:v>346-Survivor AUX 4' Auxiliary Audio Cable   Blue</c:v>
                </c:pt>
                <c:pt idx="61">
                  <c:v>351-Geek Squad Certified Refurbished iPod nano® 16GB MP3 Player (8th Generation   Latest Model)   Space Gray</c:v>
                </c:pt>
                <c:pt idx="62">
                  <c:v>354-Geek Squad Certified Refurbished iPod touch® 16GB MP3 Player (6th Generation   Latest Model)   Gold</c:v>
                </c:pt>
                <c:pt idx="63">
                  <c:v>355-iPod nano® 16GB MP3 Player (8th Generation   Latest Model)   Gold</c:v>
                </c:pt>
                <c:pt idx="64">
                  <c:v>360-iPod nano® 16GB MP3 Player (8th Generation   Latest Model)   Space Gray</c:v>
                </c:pt>
                <c:pt idx="65">
                  <c:v>368-iPod touch® 64GB MP3 Player (6th Generation   Latest Model)   White/Silver</c:v>
                </c:pt>
                <c:pt idx="66">
                  <c:v>369-iPod shuffle® 2GB MP3 Player (6th Generation   Latest Model)   Gold</c:v>
                </c:pt>
                <c:pt idx="67">
                  <c:v>372-$15 iTunes Gift Card   Blue/Purple</c:v>
                </c:pt>
                <c:pt idx="68">
                  <c:v>377-iPod nano® 16GB MP3 Player (8th Generation   Latest Model)   Space Gray</c:v>
                </c:pt>
                <c:pt idx="69">
                  <c:v>378-iPod touch® 16GB MP3 Player (6th Generation   Latest Model)   Blue</c:v>
                </c:pt>
                <c:pt idx="70">
                  <c:v>37-AQUOS   70" Class (69.5" Diag.)   LED</c:v>
                </c:pt>
                <c:pt idx="71">
                  <c:v>380-iPod touch® 16GB MP3 Player (6th Generation   Latest Model)   Space Gray</c:v>
                </c:pt>
                <c:pt idx="72">
                  <c:v>381-iPod nano® 16GB MP3 Player (8th Generation   Latest Model)   Gold</c:v>
                </c:pt>
                <c:pt idx="73">
                  <c:v>384-iPod touch® 32GB MP3 Player (6th Generation   Latest Model)   Space Gray</c:v>
                </c:pt>
                <c:pt idx="74">
                  <c:v>385-iPod shuffle® 2GB MP3 Player (6th Generation   Latest Model)   White &amp; Silver</c:v>
                </c:pt>
                <c:pt idx="75">
                  <c:v>38-65" Class (64.5" Diag.)   LED   Curved</c:v>
                </c:pt>
                <c:pt idx="76">
                  <c:v>390-iPod nano® 16GB MP3 Player (8th Generation   Latest Model)   Silver</c:v>
                </c:pt>
                <c:pt idx="77">
                  <c:v>392-iPod touch® 16GB MP3 Player (6th Generation   Latest Model)   Silver</c:v>
                </c:pt>
                <c:pt idx="78">
                  <c:v>405-Flip 2 in 1 10.1Touch</c:v>
                </c:pt>
                <c:pt idx="79">
                  <c:v>424-ENVY x360 2 in 1 15.6Touch</c:v>
                </c:pt>
                <c:pt idx="80">
                  <c:v>444-Aspire 15.6" Laptop   Intel Celeron   4GB Memory</c:v>
                </c:pt>
                <c:pt idx="81">
                  <c:v>4-50" Class (49.5" Diag.)   LED   2160p</c:v>
                </c:pt>
                <c:pt idx="82">
                  <c:v>462-65" Class (64.5" Diag.)   LED   Curved</c:v>
                </c:pt>
                <c:pt idx="83">
                  <c:v>470-43" Class (42.5" Diag.)   LED   1080p</c:v>
                </c:pt>
                <c:pt idx="84">
                  <c:v>501-EF 85mm f/1.8 USM Medium Telephoto Lens   Black</c:v>
                </c:pt>
                <c:pt idx="85">
                  <c:v>510-AF S DX NIKKOR 55 300mm f/4.5</c:v>
                </c:pt>
                <c:pt idx="86">
                  <c:v>52-Plus Portable Bluetooth Speaker   Gray</c:v>
                </c:pt>
                <c:pt idx="87">
                  <c:v>54-Protector Case for 5th Generation Apple® iPod® touch   Black</c:v>
                </c:pt>
                <c:pt idx="88">
                  <c:v>556-Sonnar T FE 55mm f/1.8 ZA Lens for Most Sony a7 Series Cameras   Black</c:v>
                </c:pt>
                <c:pt idx="89">
                  <c:v>57-4' Micro USB Charge and Sync Cable</c:v>
                </c:pt>
                <c:pt idx="90">
                  <c:v>603-Pixtor 64GB SDXC Class 10 UHS 1 Memory Card   Black/Red</c:v>
                </c:pt>
                <c:pt idx="91">
                  <c:v>61-Apple MFi Certified 4' Touch On LED Lightning Charge and Sync Cable</c:v>
                </c:pt>
                <c:pt idx="92">
                  <c:v>65-Survivor Slim Case for Apple® iPod® touch 5th Generation   Turquoise/Lemon</c:v>
                </c:pt>
                <c:pt idx="93">
                  <c:v>66-Plus Portable Bluetooth Speaker   Pink</c:v>
                </c:pt>
                <c:pt idx="94">
                  <c:v>68-KaZoo Case for 5th Generation Apple® iPod® touch   Black</c:v>
                </c:pt>
                <c:pt idx="95">
                  <c:v>703-MFC 8950DW Wireless Black and</c:v>
                </c:pt>
                <c:pt idx="96">
                  <c:v>739-Officejet Pro 8610 e All in</c:v>
                </c:pt>
                <c:pt idx="97">
                  <c:v>766-Coolpix S9900 16.0 Megapixel Digital Camera   Black</c:v>
                </c:pt>
                <c:pt idx="98">
                  <c:v>78-BOOM Wireless Bluetooth Speaker   Black</c:v>
                </c:pt>
                <c:pt idx="99">
                  <c:v>796-D5300 DSLR Camera (Body Only)   Black</c:v>
                </c:pt>
                <c:pt idx="100">
                  <c:v>8-55" Class (54.6" Diag.)   LED   Curved</c:v>
                </c:pt>
                <c:pt idx="101">
                  <c:v>870-iPhone 6s Plus 64GB   Silver (Sprint)</c:v>
                </c:pt>
                <c:pt idx="102">
                  <c:v>87-Bullfrogz Case for Apple® iPod® touch 5th Generation   Black/Green</c:v>
                </c:pt>
                <c:pt idx="103">
                  <c:v>890-iPhone 6s 128GB   Space Gray (Sprint)</c:v>
                </c:pt>
                <c:pt idx="104">
                  <c:v>89-Call Jax Plus 3.5mm Audio Cable   Black</c:v>
                </c:pt>
                <c:pt idx="105">
                  <c:v>93-Courier Clip Case for Apple® iPod® nano 7th Generation   Black</c:v>
                </c:pt>
                <c:pt idx="106">
                  <c:v>946-iPhone 6s 16GB   Gold (Verizon Wireless)</c:v>
                </c:pt>
                <c:pt idx="107">
                  <c:v>9-55" Class (54.6" Diag.)   LED   2160p</c:v>
                </c:pt>
                <c:pt idx="108">
                  <c:v>976-G4 Cell Phone   Deep Blue (Verizon Wireless)</c:v>
                </c:pt>
                <c:pt idx="109">
                  <c:v>986-Art Ink</c:v>
                </c:pt>
              </c:strCache>
            </c:strRef>
          </c:cat>
          <c:val>
            <c:numRef>
              <c:f>'9inventory value'!$B$4:$B$114</c:f>
              <c:numCache>
                <c:formatCode>General</c:formatCode>
                <c:ptCount val="110"/>
                <c:pt idx="0">
                  <c:v>83.887850467289724</c:v>
                </c:pt>
                <c:pt idx="1">
                  <c:v>26.666666666666661</c:v>
                </c:pt>
                <c:pt idx="2">
                  <c:v>259.60000000000002</c:v>
                </c:pt>
                <c:pt idx="3">
                  <c:v>77.363636363636346</c:v>
                </c:pt>
                <c:pt idx="4">
                  <c:v>1566.9238095238097</c:v>
                </c:pt>
                <c:pt idx="5">
                  <c:v>885.05405405405395</c:v>
                </c:pt>
                <c:pt idx="6">
                  <c:v>169.69486823855755</c:v>
                </c:pt>
                <c:pt idx="7">
                  <c:v>495.78431372549022</c:v>
                </c:pt>
                <c:pt idx="8">
                  <c:v>80.636363636363626</c:v>
                </c:pt>
                <c:pt idx="9">
                  <c:v>2631.2427184466019</c:v>
                </c:pt>
                <c:pt idx="10">
                  <c:v>861.72727272727252</c:v>
                </c:pt>
                <c:pt idx="11">
                  <c:v>577.36363636363649</c:v>
                </c:pt>
                <c:pt idx="12">
                  <c:v>270</c:v>
                </c:pt>
                <c:pt idx="13">
                  <c:v>250.29411764705884</c:v>
                </c:pt>
                <c:pt idx="14">
                  <c:v>466.18181818181819</c:v>
                </c:pt>
                <c:pt idx="15">
                  <c:v>376.87387387387389</c:v>
                </c:pt>
                <c:pt idx="16">
                  <c:v>42.128712871287128</c:v>
                </c:pt>
                <c:pt idx="17">
                  <c:v>95.360360360360346</c:v>
                </c:pt>
                <c:pt idx="18">
                  <c:v>148.6363636363636</c:v>
                </c:pt>
                <c:pt idx="19">
                  <c:v>21.7843137254902</c:v>
                </c:pt>
                <c:pt idx="20">
                  <c:v>100.54545454545453</c:v>
                </c:pt>
                <c:pt idx="21">
                  <c:v>863.96261682243005</c:v>
                </c:pt>
                <c:pt idx="22">
                  <c:v>294.95454545454538</c:v>
                </c:pt>
                <c:pt idx="23">
                  <c:v>57.216981132075453</c:v>
                </c:pt>
                <c:pt idx="24">
                  <c:v>126.0194174757282</c:v>
                </c:pt>
                <c:pt idx="25">
                  <c:v>41.310679611650478</c:v>
                </c:pt>
                <c:pt idx="26">
                  <c:v>144.9047619047619</c:v>
                </c:pt>
                <c:pt idx="27">
                  <c:v>1691.8000000000002</c:v>
                </c:pt>
                <c:pt idx="28">
                  <c:v>162.09523809523807</c:v>
                </c:pt>
                <c:pt idx="29">
                  <c:v>596.32075471698101</c:v>
                </c:pt>
                <c:pt idx="30">
                  <c:v>83.774509803921575</c:v>
                </c:pt>
                <c:pt idx="31">
                  <c:v>243.69369369369366</c:v>
                </c:pt>
                <c:pt idx="32">
                  <c:v>149.94174757281556</c:v>
                </c:pt>
                <c:pt idx="33">
                  <c:v>114.9</c:v>
                </c:pt>
                <c:pt idx="34">
                  <c:v>757.117117117117</c:v>
                </c:pt>
                <c:pt idx="35">
                  <c:v>206</c:v>
                </c:pt>
                <c:pt idx="36">
                  <c:v>357.37864077669911</c:v>
                </c:pt>
                <c:pt idx="37">
                  <c:v>72.807692307692307</c:v>
                </c:pt>
                <c:pt idx="38">
                  <c:v>275.45454545454538</c:v>
                </c:pt>
                <c:pt idx="39">
                  <c:v>40.036036036036037</c:v>
                </c:pt>
                <c:pt idx="40">
                  <c:v>165.85436893203885</c:v>
                </c:pt>
                <c:pt idx="41">
                  <c:v>81.400000000000006</c:v>
                </c:pt>
                <c:pt idx="42">
                  <c:v>857.36538461538464</c:v>
                </c:pt>
                <c:pt idx="43">
                  <c:v>471.42857142857139</c:v>
                </c:pt>
                <c:pt idx="44">
                  <c:v>73.513513513513502</c:v>
                </c:pt>
                <c:pt idx="45">
                  <c:v>243.14285714285717</c:v>
                </c:pt>
                <c:pt idx="46">
                  <c:v>253.00000000000003</c:v>
                </c:pt>
                <c:pt idx="47">
                  <c:v>768.86915887850466</c:v>
                </c:pt>
                <c:pt idx="48">
                  <c:v>560.58095238095257</c:v>
                </c:pt>
                <c:pt idx="49">
                  <c:v>378.7</c:v>
                </c:pt>
                <c:pt idx="50">
                  <c:v>1315.6213592233009</c:v>
                </c:pt>
                <c:pt idx="51">
                  <c:v>300.92857142857144</c:v>
                </c:pt>
                <c:pt idx="52">
                  <c:v>243.14285714285717</c:v>
                </c:pt>
                <c:pt idx="53">
                  <c:v>41.924528301886802</c:v>
                </c:pt>
                <c:pt idx="54">
                  <c:v>113.1428571428571</c:v>
                </c:pt>
                <c:pt idx="55">
                  <c:v>3764.1388888888891</c:v>
                </c:pt>
                <c:pt idx="56">
                  <c:v>254.18181818181813</c:v>
                </c:pt>
                <c:pt idx="57">
                  <c:v>474.81481481481478</c:v>
                </c:pt>
                <c:pt idx="58">
                  <c:v>1452.1359223300972</c:v>
                </c:pt>
                <c:pt idx="59">
                  <c:v>399.70297029702954</c:v>
                </c:pt>
                <c:pt idx="60">
                  <c:v>252.8</c:v>
                </c:pt>
                <c:pt idx="61">
                  <c:v>3799.3177570093471</c:v>
                </c:pt>
                <c:pt idx="62">
                  <c:v>1212.851851851852</c:v>
                </c:pt>
                <c:pt idx="63">
                  <c:v>198.34951456310679</c:v>
                </c:pt>
                <c:pt idx="64">
                  <c:v>116.5454545454545</c:v>
                </c:pt>
                <c:pt idx="65">
                  <c:v>183.69369369369369</c:v>
                </c:pt>
                <c:pt idx="66">
                  <c:v>388.48214285714278</c:v>
                </c:pt>
                <c:pt idx="67">
                  <c:v>1180.0720720720722</c:v>
                </c:pt>
                <c:pt idx="68">
                  <c:v>55.480582524271853</c:v>
                </c:pt>
                <c:pt idx="69">
                  <c:v>127.07619047619048</c:v>
                </c:pt>
                <c:pt idx="70">
                  <c:v>111.22727272727272</c:v>
                </c:pt>
                <c:pt idx="71">
                  <c:v>42.238095238095241</c:v>
                </c:pt>
                <c:pt idx="72">
                  <c:v>918.10810810810801</c:v>
                </c:pt>
                <c:pt idx="73">
                  <c:v>120.37142857142858</c:v>
                </c:pt>
                <c:pt idx="74">
                  <c:v>42.32380952380953</c:v>
                </c:pt>
                <c:pt idx="75">
                  <c:v>2509.4259259259261</c:v>
                </c:pt>
                <c:pt idx="76">
                  <c:v>42.128712871287128</c:v>
                </c:pt>
                <c:pt idx="77">
                  <c:v>137.21495327102804</c:v>
                </c:pt>
                <c:pt idx="78">
                  <c:v>169.20792079207922</c:v>
                </c:pt>
                <c:pt idx="79">
                  <c:v>266.90909090909088</c:v>
                </c:pt>
                <c:pt idx="80">
                  <c:v>177.48571428571429</c:v>
                </c:pt>
                <c:pt idx="81">
                  <c:v>641.98095238095243</c:v>
                </c:pt>
                <c:pt idx="82">
                  <c:v>255.3267326732674</c:v>
                </c:pt>
                <c:pt idx="83">
                  <c:v>50.628571428571433</c:v>
                </c:pt>
                <c:pt idx="84">
                  <c:v>699.18181818181802</c:v>
                </c:pt>
                <c:pt idx="85">
                  <c:v>181.76699029126212</c:v>
                </c:pt>
                <c:pt idx="86">
                  <c:v>131.31428571428569</c:v>
                </c:pt>
                <c:pt idx="87">
                  <c:v>36.72727272727272</c:v>
                </c:pt>
                <c:pt idx="88">
                  <c:v>116.13881401617249</c:v>
                </c:pt>
                <c:pt idx="89">
                  <c:v>80.792079207920793</c:v>
                </c:pt>
                <c:pt idx="90">
                  <c:v>79.44805194805194</c:v>
                </c:pt>
                <c:pt idx="91">
                  <c:v>107.37864077669902</c:v>
                </c:pt>
                <c:pt idx="92">
                  <c:v>41.532710280373827</c:v>
                </c:pt>
                <c:pt idx="93">
                  <c:v>238.5981308411215</c:v>
                </c:pt>
                <c:pt idx="94">
                  <c:v>573</c:v>
                </c:pt>
                <c:pt idx="95">
                  <c:v>168.57142857142858</c:v>
                </c:pt>
                <c:pt idx="96">
                  <c:v>84.257425742574256</c:v>
                </c:pt>
                <c:pt idx="97">
                  <c:v>68.716931216931215</c:v>
                </c:pt>
                <c:pt idx="98">
                  <c:v>113.6936936936937</c:v>
                </c:pt>
                <c:pt idx="99">
                  <c:v>204.3</c:v>
                </c:pt>
                <c:pt idx="100">
                  <c:v>154.72727272727269</c:v>
                </c:pt>
                <c:pt idx="101">
                  <c:v>74.112149532710276</c:v>
                </c:pt>
                <c:pt idx="102">
                  <c:v>1488.5</c:v>
                </c:pt>
                <c:pt idx="103">
                  <c:v>953.79611650485458</c:v>
                </c:pt>
                <c:pt idx="104">
                  <c:v>1448.4615384615386</c:v>
                </c:pt>
                <c:pt idx="105">
                  <c:v>72.570093457943926</c:v>
                </c:pt>
                <c:pt idx="106">
                  <c:v>24.666666666666671</c:v>
                </c:pt>
                <c:pt idx="107">
                  <c:v>74.181818181818173</c:v>
                </c:pt>
                <c:pt idx="108">
                  <c:v>261.33009708737859</c:v>
                </c:pt>
                <c:pt idx="109">
                  <c:v>405.38235294117652</c:v>
                </c:pt>
              </c:numCache>
            </c:numRef>
          </c:val>
          <c:extLst>
            <c:ext xmlns:c16="http://schemas.microsoft.com/office/drawing/2014/chart" uri="{C3380CC4-5D6E-409C-BE32-E72D297353CC}">
              <c16:uniqueId val="{00000000-BFC1-428C-A46D-72D4972625A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DASHBOARD.xlsx]12 total profit by region!PivotTable33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985392398538548E-2"/>
              <c:y val="-0.292200748962999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61547109486371E-3"/>
              <c:y val="-0.190162392182269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61547109486878E-3"/>
              <c:y val="-0.36177235585895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895581750623406E-17"/>
              <c:y val="-0.194800499308666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6154710948739E-3"/>
              <c:y val="-0.12059078528631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'12 total profit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4-1242-40FF-B3B6-3F6090440C0B}"/>
              </c:ext>
            </c:extLst>
          </c:dPt>
          <c:dPt>
            <c:idx val="1"/>
            <c:invertIfNegative val="0"/>
            <c:bubble3D val="0"/>
            <c:extLst>
              <c:ext xmlns:c16="http://schemas.microsoft.com/office/drawing/2014/chart" uri="{C3380CC4-5D6E-409C-BE32-E72D297353CC}">
                <c16:uniqueId val="{00000003-1242-40FF-B3B6-3F6090440C0B}"/>
              </c:ext>
            </c:extLst>
          </c:dPt>
          <c:dPt>
            <c:idx val="2"/>
            <c:invertIfNegative val="0"/>
            <c:bubble3D val="0"/>
            <c:extLst>
              <c:ext xmlns:c16="http://schemas.microsoft.com/office/drawing/2014/chart" uri="{C3380CC4-5D6E-409C-BE32-E72D297353CC}">
                <c16:uniqueId val="{00000002-1242-40FF-B3B6-3F6090440C0B}"/>
              </c:ext>
            </c:extLst>
          </c:dPt>
          <c:dPt>
            <c:idx val="3"/>
            <c:invertIfNegative val="0"/>
            <c:bubble3D val="0"/>
            <c:extLst>
              <c:ext xmlns:c16="http://schemas.microsoft.com/office/drawing/2014/chart" uri="{C3380CC4-5D6E-409C-BE32-E72D297353CC}">
                <c16:uniqueId val="{00000001-1242-40FF-B3B6-3F6090440C0B}"/>
              </c:ext>
            </c:extLst>
          </c:dPt>
          <c:dPt>
            <c:idx val="4"/>
            <c:invertIfNegative val="0"/>
            <c:bubble3D val="0"/>
            <c:extLst>
              <c:ext xmlns:c16="http://schemas.microsoft.com/office/drawing/2014/chart" uri="{C3380CC4-5D6E-409C-BE32-E72D297353CC}">
                <c16:uniqueId val="{00000000-1242-40FF-B3B6-3F6090440C0B}"/>
              </c:ext>
            </c:extLst>
          </c:dPt>
          <c:dLbls>
            <c:dLbl>
              <c:idx val="0"/>
              <c:layout>
                <c:manualLayout>
                  <c:x val="-2.776154710948739E-3"/>
                  <c:y val="-0.12059078528631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242-40FF-B3B6-3F6090440C0B}"/>
                </c:ext>
              </c:extLst>
            </c:dLbl>
            <c:dLbl>
              <c:idx val="1"/>
              <c:layout>
                <c:manualLayout>
                  <c:x val="-5.0895581750623406E-17"/>
                  <c:y val="-0.194800499308666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42-40FF-B3B6-3F6090440C0B}"/>
                </c:ext>
              </c:extLst>
            </c:dLbl>
            <c:dLbl>
              <c:idx val="2"/>
              <c:layout>
                <c:manualLayout>
                  <c:x val="2.7761547109486878E-3"/>
                  <c:y val="-0.36177235585895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42-40FF-B3B6-3F6090440C0B}"/>
                </c:ext>
              </c:extLst>
            </c:dLbl>
            <c:dLbl>
              <c:idx val="3"/>
              <c:layout>
                <c:manualLayout>
                  <c:x val="2.7761547109486371E-3"/>
                  <c:y val="-0.190162392182269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42-40FF-B3B6-3F6090440C0B}"/>
                </c:ext>
              </c:extLst>
            </c:dLbl>
            <c:dLbl>
              <c:idx val="4"/>
              <c:layout>
                <c:manualLayout>
                  <c:x val="2.4985392398538548E-2"/>
                  <c:y val="-0.292200748962999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42-40FF-B3B6-3F6090440C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'12 total profit by region'!$A$4:$A$9</c:f>
              <c:strCache>
                <c:ptCount val="5"/>
                <c:pt idx="0">
                  <c:v>East</c:v>
                </c:pt>
                <c:pt idx="1">
                  <c:v>Midwest</c:v>
                </c:pt>
                <c:pt idx="2">
                  <c:v>South</c:v>
                </c:pt>
                <c:pt idx="3">
                  <c:v>Southwest</c:v>
                </c:pt>
                <c:pt idx="4">
                  <c:v>West</c:v>
                </c:pt>
              </c:strCache>
            </c:strRef>
          </c:cat>
          <c:val>
            <c:numRef>
              <c:f>'12 total profit by region'!$B$4:$B$9</c:f>
              <c:numCache>
                <c:formatCode>General</c:formatCode>
                <c:ptCount val="5"/>
                <c:pt idx="0">
                  <c:v>1632.5602891270003</c:v>
                </c:pt>
                <c:pt idx="1">
                  <c:v>2421.215989451</c:v>
                </c:pt>
                <c:pt idx="2">
                  <c:v>5284.5541495800007</c:v>
                </c:pt>
                <c:pt idx="3">
                  <c:v>2067.3794902830005</c:v>
                </c:pt>
                <c:pt idx="4">
                  <c:v>4060.2434544729999</c:v>
                </c:pt>
              </c:numCache>
            </c:numRef>
          </c:val>
          <c:extLst>
            <c:ext xmlns:c16="http://schemas.microsoft.com/office/drawing/2014/chart" uri="{C3380CC4-5D6E-409C-BE32-E72D297353CC}">
              <c16:uniqueId val="{00000000-8D3B-4EE5-9426-2C12194F5683}"/>
            </c:ext>
          </c:extLst>
        </c:ser>
        <c:dLbls>
          <c:showLegendKey val="0"/>
          <c:showVal val="1"/>
          <c:showCatName val="0"/>
          <c:showSerName val="0"/>
          <c:showPercent val="0"/>
          <c:showBubbleSize val="0"/>
        </c:dLbls>
        <c:gapWidth val="150"/>
        <c:overlap val="100"/>
        <c:axId val="1260093855"/>
        <c:axId val="1260092415"/>
      </c:barChart>
      <c:catAx>
        <c:axId val="1260093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0092415"/>
        <c:crosses val="autoZero"/>
        <c:auto val="1"/>
        <c:lblAlgn val="ctr"/>
        <c:lblOffset val="100"/>
        <c:noMultiLvlLbl val="0"/>
      </c:catAx>
      <c:valAx>
        <c:axId val="1260092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009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DASHBOARD.xlsx]2store wise sales!PivotTable2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STORE</a:t>
            </a:r>
            <a:r>
              <a:rPr lang="en-US" sz="1600" b="1" baseline="0">
                <a:solidFill>
                  <a:srgbClr val="FF0000"/>
                </a:solidFill>
              </a:rPr>
              <a:t> WISE SALES</a:t>
            </a:r>
            <a:endParaRPr lang="en-US" sz="1600"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117913385826774"/>
          <c:y val="0.22856846019247595"/>
          <c:w val="0.30819116360454946"/>
          <c:h val="0.60847659667541554"/>
        </c:manualLayout>
      </c:layout>
      <c:barChart>
        <c:barDir val="bar"/>
        <c:grouping val="clustered"/>
        <c:varyColors val="0"/>
        <c:ser>
          <c:idx val="0"/>
          <c:order val="0"/>
          <c:tx>
            <c:strRef>
              <c:f>'2store wise sales'!$B$3</c:f>
              <c:strCache>
                <c:ptCount val="1"/>
                <c:pt idx="0">
                  <c:v>Total</c:v>
                </c:pt>
              </c:strCache>
            </c:strRef>
          </c:tx>
          <c:spPr>
            <a:solidFill>
              <a:schemeClr val="accent1"/>
            </a:solidFill>
            <a:ln>
              <a:noFill/>
            </a:ln>
            <a:effectLst/>
          </c:spPr>
          <c:invertIfNegative val="0"/>
          <c:cat>
            <c:strRef>
              <c:f>'2store wise sales'!$A$4:$A$18</c:f>
              <c:strCache>
                <c:ptCount val="14"/>
                <c:pt idx="0">
                  <c:v>Abbots Store #888</c:v>
                </c:pt>
                <c:pt idx="1">
                  <c:v>Bendmore Store #992</c:v>
                </c:pt>
                <c:pt idx="2">
                  <c:v>Carol Store #394</c:v>
                </c:pt>
                <c:pt idx="3">
                  <c:v>Cedarne Store #869</c:v>
                </c:pt>
                <c:pt idx="4">
                  <c:v>Chambers Store #71</c:v>
                </c:pt>
                <c:pt idx="5">
                  <c:v>Collins Store #911</c:v>
                </c:pt>
                <c:pt idx="6">
                  <c:v>Commercial Store #178</c:v>
                </c:pt>
                <c:pt idx="7">
                  <c:v>Dunstable Store #33</c:v>
                </c:pt>
                <c:pt idx="8">
                  <c:v>Garfield Store #436</c:v>
                </c:pt>
                <c:pt idx="9">
                  <c:v>Hamilton Store #615</c:v>
                </c:pt>
                <c:pt idx="10">
                  <c:v>King Store #922</c:v>
                </c:pt>
                <c:pt idx="11">
                  <c:v>Walnut Store #763</c:v>
                </c:pt>
                <c:pt idx="12">
                  <c:v>Walnut Store #984</c:v>
                </c:pt>
                <c:pt idx="13">
                  <c:v>York Store #814</c:v>
                </c:pt>
              </c:strCache>
            </c:strRef>
          </c:cat>
          <c:val>
            <c:numRef>
              <c:f>'2store wise sales'!$B$4:$B$18</c:f>
              <c:numCache>
                <c:formatCode>General</c:formatCode>
                <c:ptCount val="14"/>
                <c:pt idx="0">
                  <c:v>723</c:v>
                </c:pt>
                <c:pt idx="1">
                  <c:v>240</c:v>
                </c:pt>
                <c:pt idx="2">
                  <c:v>146.5</c:v>
                </c:pt>
                <c:pt idx="3">
                  <c:v>240</c:v>
                </c:pt>
                <c:pt idx="4">
                  <c:v>115</c:v>
                </c:pt>
                <c:pt idx="5">
                  <c:v>287.5</c:v>
                </c:pt>
                <c:pt idx="6">
                  <c:v>230.5</c:v>
                </c:pt>
                <c:pt idx="7">
                  <c:v>99</c:v>
                </c:pt>
                <c:pt idx="8">
                  <c:v>109.5</c:v>
                </c:pt>
                <c:pt idx="9">
                  <c:v>114</c:v>
                </c:pt>
                <c:pt idx="10">
                  <c:v>471</c:v>
                </c:pt>
                <c:pt idx="11">
                  <c:v>204</c:v>
                </c:pt>
                <c:pt idx="12">
                  <c:v>360</c:v>
                </c:pt>
                <c:pt idx="13">
                  <c:v>335.5</c:v>
                </c:pt>
              </c:numCache>
            </c:numRef>
          </c:val>
          <c:extLst>
            <c:ext xmlns:c16="http://schemas.microsoft.com/office/drawing/2014/chart" uri="{C3380CC4-5D6E-409C-BE32-E72D297353CC}">
              <c16:uniqueId val="{00000000-8EBA-4173-B57C-8F51A2FF75A5}"/>
            </c:ext>
          </c:extLst>
        </c:ser>
        <c:dLbls>
          <c:showLegendKey val="0"/>
          <c:showVal val="0"/>
          <c:showCatName val="0"/>
          <c:showSerName val="0"/>
          <c:showPercent val="0"/>
          <c:showBubbleSize val="0"/>
        </c:dLbls>
        <c:gapWidth val="182"/>
        <c:axId val="1341974159"/>
        <c:axId val="1341974639"/>
      </c:barChart>
      <c:catAx>
        <c:axId val="1341974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974639"/>
        <c:crosses val="autoZero"/>
        <c:auto val="1"/>
        <c:lblAlgn val="ctr"/>
        <c:lblOffset val="100"/>
        <c:noMultiLvlLbl val="0"/>
      </c:catAx>
      <c:valAx>
        <c:axId val="1341974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974159"/>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DASHBOARD.xlsx]3sales growth!PivotTable14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SALES</a:t>
            </a:r>
            <a:r>
              <a:rPr lang="en-US" sz="1600" b="1" baseline="0">
                <a:solidFill>
                  <a:srgbClr val="FF0000"/>
                </a:solidFill>
              </a:rPr>
              <a:t> GROWTH</a:t>
            </a:r>
            <a:endParaRPr lang="en-US" sz="1600"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24759405074364"/>
          <c:y val="0.16449074074074077"/>
          <c:w val="0.72191863517060373"/>
          <c:h val="0.36945428696412946"/>
        </c:manualLayout>
      </c:layout>
      <c:lineChart>
        <c:grouping val="standard"/>
        <c:varyColors val="0"/>
        <c:ser>
          <c:idx val="0"/>
          <c:order val="0"/>
          <c:tx>
            <c:strRef>
              <c:f>'3sales growth'!$B$3</c:f>
              <c:strCache>
                <c:ptCount val="1"/>
                <c:pt idx="0">
                  <c:v>Total</c:v>
                </c:pt>
              </c:strCache>
            </c:strRef>
          </c:tx>
          <c:spPr>
            <a:ln w="28575" cap="rnd">
              <a:solidFill>
                <a:schemeClr val="accent1"/>
              </a:solidFill>
              <a:round/>
            </a:ln>
            <a:effectLst/>
          </c:spPr>
          <c:marker>
            <c:symbol val="none"/>
          </c:marker>
          <c:cat>
            <c:strRef>
              <c:f>'3sales growth'!$A$4:$A$8</c:f>
              <c:strCache>
                <c:ptCount val="4"/>
                <c:pt idx="0">
                  <c:v>2019</c:v>
                </c:pt>
                <c:pt idx="1">
                  <c:v>2020</c:v>
                </c:pt>
                <c:pt idx="2">
                  <c:v>2021</c:v>
                </c:pt>
                <c:pt idx="3">
                  <c:v>2022</c:v>
                </c:pt>
              </c:strCache>
            </c:strRef>
          </c:cat>
          <c:val>
            <c:numRef>
              <c:f>'3sales growth'!$B$4:$B$8</c:f>
              <c:numCache>
                <c:formatCode>General</c:formatCode>
                <c:ptCount val="4"/>
                <c:pt idx="0">
                  <c:v>700</c:v>
                </c:pt>
                <c:pt idx="1">
                  <c:v>349.5</c:v>
                </c:pt>
                <c:pt idx="2">
                  <c:v>1496.5</c:v>
                </c:pt>
                <c:pt idx="3">
                  <c:v>1129.5</c:v>
                </c:pt>
              </c:numCache>
            </c:numRef>
          </c:val>
          <c:smooth val="0"/>
          <c:extLst>
            <c:ext xmlns:c16="http://schemas.microsoft.com/office/drawing/2014/chart" uri="{C3380CC4-5D6E-409C-BE32-E72D297353CC}">
              <c16:uniqueId val="{00000000-0949-44E5-83C8-27FB6CA9CBCB}"/>
            </c:ext>
          </c:extLst>
        </c:ser>
        <c:dLbls>
          <c:showLegendKey val="0"/>
          <c:showVal val="0"/>
          <c:showCatName val="0"/>
          <c:showSerName val="0"/>
          <c:showPercent val="0"/>
          <c:showBubbleSize val="0"/>
        </c:dLbls>
        <c:smooth val="0"/>
        <c:axId val="1330951567"/>
        <c:axId val="1260902815"/>
      </c:lineChart>
      <c:catAx>
        <c:axId val="1330951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902815"/>
        <c:crosses val="autoZero"/>
        <c:auto val="1"/>
        <c:lblAlgn val="ctr"/>
        <c:lblOffset val="100"/>
        <c:noMultiLvlLbl val="0"/>
      </c:catAx>
      <c:valAx>
        <c:axId val="126090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95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DASHBOARD.xlsx]7product in inventory!PivotTable18</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PRODUCT IN INVENTORY</a:t>
            </a:r>
          </a:p>
        </c:rich>
      </c:tx>
      <c:layout>
        <c:manualLayout>
          <c:xMode val="edge"/>
          <c:yMode val="edge"/>
          <c:x val="0.39008114034377322"/>
          <c:y val="8.811616213373832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'7product in inventory'!$B$3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'7product in inventory'!$A$4:$A$5</c:f>
              <c:strCache>
                <c:ptCount val="1"/>
                <c:pt idx="0">
                  <c:v>1008-Brass Instrument Cleaning Tools</c:v>
                </c:pt>
              </c:strCache>
            </c:strRef>
          </c:cat>
          <c:val>
            <c:numRef>
              <c:f>'7product in inventory'!$B$4:$B$5</c:f>
              <c:numCache>
                <c:formatCode>General</c:formatCode>
                <c:ptCount val="1"/>
                <c:pt idx="0">
                  <c:v>2</c:v>
                </c:pt>
              </c:numCache>
            </c:numRef>
          </c:val>
          <c:extLst>
            <c:ext xmlns:c16="http://schemas.microsoft.com/office/drawing/2014/chart" uri="{C3380CC4-5D6E-409C-BE32-E72D297353CC}">
              <c16:uniqueId val="{00000000-7318-4719-B7DB-F40EBAD120F1}"/>
            </c:ext>
          </c:extLst>
        </c:ser>
        <c:dLbls>
          <c:dLblPos val="inEnd"/>
          <c:showLegendKey val="0"/>
          <c:showVal val="1"/>
          <c:showCatName val="0"/>
          <c:showSerName val="0"/>
          <c:showPercent val="0"/>
          <c:showBubbleSize val="0"/>
        </c:dLbls>
        <c:gapWidth val="65"/>
        <c:axId val="1274140175"/>
        <c:axId val="1274140655"/>
      </c:barChart>
      <c:catAx>
        <c:axId val="127414017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74140655"/>
        <c:crosses val="autoZero"/>
        <c:auto val="1"/>
        <c:lblAlgn val="ctr"/>
        <c:lblOffset val="100"/>
        <c:noMultiLvlLbl val="0"/>
      </c:catAx>
      <c:valAx>
        <c:axId val="127414065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741401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DASHBOARD.xlsx]Out of Stock 8!PivotTable41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OVERT</a:t>
            </a:r>
            <a:r>
              <a:rPr lang="en-IN" b="1" baseline="0">
                <a:solidFill>
                  <a:srgbClr val="FF0000"/>
                </a:solidFill>
              </a:rPr>
              <a:t> STOCK,OUT OF STOCK,UNDER STOCK</a:t>
            </a:r>
            <a:endParaRPr lang="en-IN" b="1">
              <a:solidFill>
                <a:srgbClr val="FF0000"/>
              </a:solidFill>
            </a:endParaRPr>
          </a:p>
        </c:rich>
      </c:tx>
      <c:layout>
        <c:manualLayout>
          <c:xMode val="edge"/>
          <c:yMode val="edge"/>
          <c:x val="0.20476194674767254"/>
          <c:y val="5.60536192345812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89426968609538"/>
          <c:y val="0.15260659137598148"/>
          <c:w val="0.79072374350242458"/>
          <c:h val="0.44194281942348634"/>
        </c:manualLayout>
      </c:layout>
      <c:barChart>
        <c:barDir val="col"/>
        <c:grouping val="stacked"/>
        <c:varyColors val="0"/>
        <c:ser>
          <c:idx val="0"/>
          <c:order val="0"/>
          <c:tx>
            <c:strRef>
              <c:f>'Out of Stock 8'!$B$3:$B$4</c:f>
              <c:strCache>
                <c:ptCount val="1"/>
                <c:pt idx="0">
                  <c:v>over stock</c:v>
                </c:pt>
              </c:strCache>
            </c:strRef>
          </c:tx>
          <c:spPr>
            <a:solidFill>
              <a:schemeClr val="accent1"/>
            </a:solidFill>
            <a:ln>
              <a:noFill/>
            </a:ln>
            <a:effectLst/>
          </c:spPr>
          <c:invertIfNegative val="0"/>
          <c:cat>
            <c:strRef>
              <c:f>'Out of Stock 8'!$A$5:$A$19</c:f>
              <c:strCache>
                <c:ptCount val="14"/>
                <c:pt idx="0">
                  <c:v>1008-Brass Instrument Cleaning Tools</c:v>
                </c:pt>
                <c:pt idx="1">
                  <c:v>118-iPhone 6s 16GB   Gold (AT&amp;T)</c:v>
                </c:pt>
                <c:pt idx="2">
                  <c:v>319-EX Earbud Headphones   White</c:v>
                </c:pt>
                <c:pt idx="3">
                  <c:v>334-urBeats Earbud Headphones   Black</c:v>
                </c:pt>
                <c:pt idx="4">
                  <c:v>336-EX Series Earbud Headphones   Black</c:v>
                </c:pt>
                <c:pt idx="5">
                  <c:v>351-Geek Squad Certified Refurbished iPod nano® 16GB MP3 Player (8th Generation   Latest Model)   Space Gray</c:v>
                </c:pt>
                <c:pt idx="6">
                  <c:v>354-Geek Squad Certified Refurbished iPod touch® 16GB MP3 Player (6th Generation   Latest Model)   Gold</c:v>
                </c:pt>
                <c:pt idx="7">
                  <c:v>38-65" Class (64.5" Diag.)   LED   Curved</c:v>
                </c:pt>
                <c:pt idx="8">
                  <c:v>392-iPod touch® 16GB MP3 Player (6th Generation   Latest Model)   Silver</c:v>
                </c:pt>
                <c:pt idx="9">
                  <c:v>65-Survivor Slim Case for Apple® iPod® touch 5th Generation   Turquoise/Lemon</c:v>
                </c:pt>
                <c:pt idx="10">
                  <c:v>66-Plus Portable Bluetooth Speaker   Pink</c:v>
                </c:pt>
                <c:pt idx="11">
                  <c:v>766-Coolpix S9900 16.0 Megapixel Digital Camera   Black</c:v>
                </c:pt>
                <c:pt idx="12">
                  <c:v>870-iPhone 6s Plus 64GB   Silver (Sprint)</c:v>
                </c:pt>
                <c:pt idx="13">
                  <c:v>93-Courier Clip Case for Apple® iPod® nano 7th Generation   Black</c:v>
                </c:pt>
              </c:strCache>
            </c:strRef>
          </c:cat>
          <c:val>
            <c:numRef>
              <c:f>'Out of Stock 8'!$B$5:$B$19</c:f>
              <c:numCache>
                <c:formatCode>General</c:formatCode>
                <c:ptCount val="14"/>
                <c:pt idx="1">
                  <c:v>2</c:v>
                </c:pt>
                <c:pt idx="3">
                  <c:v>3</c:v>
                </c:pt>
                <c:pt idx="4">
                  <c:v>3</c:v>
                </c:pt>
                <c:pt idx="5">
                  <c:v>3</c:v>
                </c:pt>
                <c:pt idx="6">
                  <c:v>2</c:v>
                </c:pt>
                <c:pt idx="7">
                  <c:v>2</c:v>
                </c:pt>
                <c:pt idx="8">
                  <c:v>2</c:v>
                </c:pt>
                <c:pt idx="10">
                  <c:v>3</c:v>
                </c:pt>
                <c:pt idx="13">
                  <c:v>2</c:v>
                </c:pt>
              </c:numCache>
            </c:numRef>
          </c:val>
          <c:extLst>
            <c:ext xmlns:c16="http://schemas.microsoft.com/office/drawing/2014/chart" uri="{C3380CC4-5D6E-409C-BE32-E72D297353CC}">
              <c16:uniqueId val="{00000000-A57B-4899-9F79-F2BB272FDCF6}"/>
            </c:ext>
          </c:extLst>
        </c:ser>
        <c:ser>
          <c:idx val="1"/>
          <c:order val="1"/>
          <c:tx>
            <c:strRef>
              <c:f>'Out of Stock 8'!$C$3:$C$4</c:f>
              <c:strCache>
                <c:ptCount val="1"/>
                <c:pt idx="0">
                  <c:v>under stock</c:v>
                </c:pt>
              </c:strCache>
            </c:strRef>
          </c:tx>
          <c:spPr>
            <a:solidFill>
              <a:schemeClr val="accent2"/>
            </a:solidFill>
            <a:ln>
              <a:noFill/>
            </a:ln>
            <a:effectLst/>
          </c:spPr>
          <c:invertIfNegative val="0"/>
          <c:cat>
            <c:strRef>
              <c:f>'Out of Stock 8'!$A$5:$A$19</c:f>
              <c:strCache>
                <c:ptCount val="14"/>
                <c:pt idx="0">
                  <c:v>1008-Brass Instrument Cleaning Tools</c:v>
                </c:pt>
                <c:pt idx="1">
                  <c:v>118-iPhone 6s 16GB   Gold (AT&amp;T)</c:v>
                </c:pt>
                <c:pt idx="2">
                  <c:v>319-EX Earbud Headphones   White</c:v>
                </c:pt>
                <c:pt idx="3">
                  <c:v>334-urBeats Earbud Headphones   Black</c:v>
                </c:pt>
                <c:pt idx="4">
                  <c:v>336-EX Series Earbud Headphones   Black</c:v>
                </c:pt>
                <c:pt idx="5">
                  <c:v>351-Geek Squad Certified Refurbished iPod nano® 16GB MP3 Player (8th Generation   Latest Model)   Space Gray</c:v>
                </c:pt>
                <c:pt idx="6">
                  <c:v>354-Geek Squad Certified Refurbished iPod touch® 16GB MP3 Player (6th Generation   Latest Model)   Gold</c:v>
                </c:pt>
                <c:pt idx="7">
                  <c:v>38-65" Class (64.5" Diag.)   LED   Curved</c:v>
                </c:pt>
                <c:pt idx="8">
                  <c:v>392-iPod touch® 16GB MP3 Player (6th Generation   Latest Model)   Silver</c:v>
                </c:pt>
                <c:pt idx="9">
                  <c:v>65-Survivor Slim Case for Apple® iPod® touch 5th Generation   Turquoise/Lemon</c:v>
                </c:pt>
                <c:pt idx="10">
                  <c:v>66-Plus Portable Bluetooth Speaker   Pink</c:v>
                </c:pt>
                <c:pt idx="11">
                  <c:v>766-Coolpix S9900 16.0 Megapixel Digital Camera   Black</c:v>
                </c:pt>
                <c:pt idx="12">
                  <c:v>870-iPhone 6s Plus 64GB   Silver (Sprint)</c:v>
                </c:pt>
                <c:pt idx="13">
                  <c:v>93-Courier Clip Case for Apple® iPod® nano 7th Generation   Black</c:v>
                </c:pt>
              </c:strCache>
            </c:strRef>
          </c:cat>
          <c:val>
            <c:numRef>
              <c:f>'Out of Stock 8'!$C$5:$C$19</c:f>
              <c:numCache>
                <c:formatCode>General</c:formatCode>
                <c:ptCount val="14"/>
                <c:pt idx="0">
                  <c:v>1</c:v>
                </c:pt>
                <c:pt idx="2">
                  <c:v>1</c:v>
                </c:pt>
                <c:pt idx="9">
                  <c:v>1</c:v>
                </c:pt>
                <c:pt idx="11">
                  <c:v>1</c:v>
                </c:pt>
                <c:pt idx="12">
                  <c:v>1</c:v>
                </c:pt>
              </c:numCache>
            </c:numRef>
          </c:val>
          <c:extLst>
            <c:ext xmlns:c16="http://schemas.microsoft.com/office/drawing/2014/chart" uri="{C3380CC4-5D6E-409C-BE32-E72D297353CC}">
              <c16:uniqueId val="{00000001-A57B-4899-9F79-F2BB272FDCF6}"/>
            </c:ext>
          </c:extLst>
        </c:ser>
        <c:dLbls>
          <c:showLegendKey val="0"/>
          <c:showVal val="0"/>
          <c:showCatName val="0"/>
          <c:showSerName val="0"/>
          <c:showPercent val="0"/>
          <c:showBubbleSize val="0"/>
        </c:dLbls>
        <c:gapWidth val="150"/>
        <c:overlap val="100"/>
        <c:axId val="1372620767"/>
        <c:axId val="1372621247"/>
      </c:barChart>
      <c:catAx>
        <c:axId val="137262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621247"/>
        <c:crosses val="autoZero"/>
        <c:auto val="1"/>
        <c:lblAlgn val="ctr"/>
        <c:lblOffset val="100"/>
        <c:noMultiLvlLbl val="0"/>
      </c:catAx>
      <c:valAx>
        <c:axId val="1372621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62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DASHBOARD.xlsx]9inventory value!PivotTable36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rgbClr val="FF0000"/>
                </a:solidFill>
              </a:rPr>
              <a:t>INVENTORY</a:t>
            </a:r>
            <a:r>
              <a:rPr lang="en-IN" sz="2000" b="1" baseline="0">
                <a:solidFill>
                  <a:srgbClr val="FF0000"/>
                </a:solidFill>
              </a:rPr>
              <a:t> VALUE</a:t>
            </a:r>
            <a:endParaRPr lang="en-IN" sz="2000" b="1">
              <a:solidFill>
                <a:srgbClr val="FF0000"/>
              </a:solidFill>
            </a:endParaRPr>
          </a:p>
        </c:rich>
      </c:tx>
      <c:layout>
        <c:manualLayout>
          <c:xMode val="edge"/>
          <c:yMode val="edge"/>
          <c:x val="0.34863144407162755"/>
          <c:y val="4.67944487635338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'9inventory value'!$B$3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D4-4728-A87D-8A5AAD0046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D4-4728-A87D-8A5AAD0046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D4-4728-A87D-8A5AAD0046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9D4-4728-A87D-8A5AAD00466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9D4-4728-A87D-8A5AAD00466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9D4-4728-A87D-8A5AAD00466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9D4-4728-A87D-8A5AAD00466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9D4-4728-A87D-8A5AAD00466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9D4-4728-A87D-8A5AAD00466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9D4-4728-A87D-8A5AAD00466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9D4-4728-A87D-8A5AAD00466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9D4-4728-A87D-8A5AAD00466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9D4-4728-A87D-8A5AAD004666}"/>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9D4-4728-A87D-8A5AAD004666}"/>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9D4-4728-A87D-8A5AAD004666}"/>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9D4-4728-A87D-8A5AAD004666}"/>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69D4-4728-A87D-8A5AAD004666}"/>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69D4-4728-A87D-8A5AAD004666}"/>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69D4-4728-A87D-8A5AAD004666}"/>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69D4-4728-A87D-8A5AAD004666}"/>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69D4-4728-A87D-8A5AAD004666}"/>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69D4-4728-A87D-8A5AAD004666}"/>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69D4-4728-A87D-8A5AAD004666}"/>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69D4-4728-A87D-8A5AAD004666}"/>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69D4-4728-A87D-8A5AAD004666}"/>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69D4-4728-A87D-8A5AAD004666}"/>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69D4-4728-A87D-8A5AAD004666}"/>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69D4-4728-A87D-8A5AAD004666}"/>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69D4-4728-A87D-8A5AAD004666}"/>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69D4-4728-A87D-8A5AAD004666}"/>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69D4-4728-A87D-8A5AAD004666}"/>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69D4-4728-A87D-8A5AAD004666}"/>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69D4-4728-A87D-8A5AAD004666}"/>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69D4-4728-A87D-8A5AAD004666}"/>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69D4-4728-A87D-8A5AAD004666}"/>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69D4-4728-A87D-8A5AAD004666}"/>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69D4-4728-A87D-8A5AAD004666}"/>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69D4-4728-A87D-8A5AAD004666}"/>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69D4-4728-A87D-8A5AAD004666}"/>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69D4-4728-A87D-8A5AAD004666}"/>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69D4-4728-A87D-8A5AAD004666}"/>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69D4-4728-A87D-8A5AAD004666}"/>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69D4-4728-A87D-8A5AAD004666}"/>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69D4-4728-A87D-8A5AAD004666}"/>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69D4-4728-A87D-8A5AAD004666}"/>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69D4-4728-A87D-8A5AAD004666}"/>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69D4-4728-A87D-8A5AAD004666}"/>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69D4-4728-A87D-8A5AAD004666}"/>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69D4-4728-A87D-8A5AAD004666}"/>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69D4-4728-A87D-8A5AAD004666}"/>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69D4-4728-A87D-8A5AAD004666}"/>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69D4-4728-A87D-8A5AAD004666}"/>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69D4-4728-A87D-8A5AAD004666}"/>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69D4-4728-A87D-8A5AAD004666}"/>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69D4-4728-A87D-8A5AAD004666}"/>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69D4-4728-A87D-8A5AAD004666}"/>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69D4-4728-A87D-8A5AAD004666}"/>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69D4-4728-A87D-8A5AAD004666}"/>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69D4-4728-A87D-8A5AAD004666}"/>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69D4-4728-A87D-8A5AAD004666}"/>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69D4-4728-A87D-8A5AAD004666}"/>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69D4-4728-A87D-8A5AAD004666}"/>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69D4-4728-A87D-8A5AAD004666}"/>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69D4-4728-A87D-8A5AAD004666}"/>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69D4-4728-A87D-8A5AAD004666}"/>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69D4-4728-A87D-8A5AAD004666}"/>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69D4-4728-A87D-8A5AAD004666}"/>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69D4-4728-A87D-8A5AAD004666}"/>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69D4-4728-A87D-8A5AAD004666}"/>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69D4-4728-A87D-8A5AAD004666}"/>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69D4-4728-A87D-8A5AAD004666}"/>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69D4-4728-A87D-8A5AAD004666}"/>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69D4-4728-A87D-8A5AAD004666}"/>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69D4-4728-A87D-8A5AAD004666}"/>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69D4-4728-A87D-8A5AAD004666}"/>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69D4-4728-A87D-8A5AAD004666}"/>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69D4-4728-A87D-8A5AAD004666}"/>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69D4-4728-A87D-8A5AAD004666}"/>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69D4-4728-A87D-8A5AAD004666}"/>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69D4-4728-A87D-8A5AAD004666}"/>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69D4-4728-A87D-8A5AAD004666}"/>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69D4-4728-A87D-8A5AAD004666}"/>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69D4-4728-A87D-8A5AAD004666}"/>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69D4-4728-A87D-8A5AAD004666}"/>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69D4-4728-A87D-8A5AAD004666}"/>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69D4-4728-A87D-8A5AAD004666}"/>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69D4-4728-A87D-8A5AAD004666}"/>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69D4-4728-A87D-8A5AAD004666}"/>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69D4-4728-A87D-8A5AAD004666}"/>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69D4-4728-A87D-8A5AAD004666}"/>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69D4-4728-A87D-8A5AAD004666}"/>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69D4-4728-A87D-8A5AAD004666}"/>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69D4-4728-A87D-8A5AAD004666}"/>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69D4-4728-A87D-8A5AAD004666}"/>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69D4-4728-A87D-8A5AAD004666}"/>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69D4-4728-A87D-8A5AAD004666}"/>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69D4-4728-A87D-8A5AAD004666}"/>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69D4-4728-A87D-8A5AAD004666}"/>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69D4-4728-A87D-8A5AAD004666}"/>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69D4-4728-A87D-8A5AAD004666}"/>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69D4-4728-A87D-8A5AAD004666}"/>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69D4-4728-A87D-8A5AAD004666}"/>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69D4-4728-A87D-8A5AAD004666}"/>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69D4-4728-A87D-8A5AAD004666}"/>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69D4-4728-A87D-8A5AAD004666}"/>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69D4-4728-A87D-8A5AAD004666}"/>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69D4-4728-A87D-8A5AAD004666}"/>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69D4-4728-A87D-8A5AAD004666}"/>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69D4-4728-A87D-8A5AAD004666}"/>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69D4-4728-A87D-8A5AAD004666}"/>
              </c:ext>
            </c:extLst>
          </c:dPt>
          <c:cat>
            <c:strRef>
              <c:f>'9inventory value'!$A$4:$A$114</c:f>
              <c:strCache>
                <c:ptCount val="110"/>
                <c:pt idx="0">
                  <c:v>1008-Brass Instrument Cleaning Tools</c:v>
                </c:pt>
                <c:pt idx="1">
                  <c:v>1018-Clarinet Cases &amp; Gigbags</c:v>
                </c:pt>
                <c:pt idx="2">
                  <c:v>1028-Craft &amp; Office Glue</c:v>
                </c:pt>
                <c:pt idx="3">
                  <c:v>1030-Craft Cutters &amp; Embossers</c:v>
                </c:pt>
                <c:pt idx="4">
                  <c:v>1047-Drum Pedals</c:v>
                </c:pt>
                <c:pt idx="5">
                  <c:v>104-Galaxy Note5 4G LTE with 32GB Memory Cell Phone   White Pearl (AT&amp;T)</c:v>
                </c:pt>
                <c:pt idx="6">
                  <c:v>1050-Electric Guitar Pickups</c:v>
                </c:pt>
                <c:pt idx="7">
                  <c:v>1053-Eyelets &amp; Grommets</c:v>
                </c:pt>
                <c:pt idx="8">
                  <c:v>1056-Felting Needles &amp; Machines</c:v>
                </c:pt>
                <c:pt idx="9">
                  <c:v>1059-Finger &amp; Hand Cymbals</c:v>
                </c:pt>
                <c:pt idx="10">
                  <c:v>1060-Floral Tape</c:v>
                </c:pt>
                <c:pt idx="11">
                  <c:v>1061-Floral Wire</c:v>
                </c:pt>
                <c:pt idx="12">
                  <c:v>1064-Flute Parts</c:v>
                </c:pt>
                <c:pt idx="13">
                  <c:v>1069-Guitar Cases &amp; Gig Bags</c:v>
                </c:pt>
                <c:pt idx="14">
                  <c:v>1075-Guitar Straps</c:v>
                </c:pt>
                <c:pt idx="15">
                  <c:v>1079-Hand Bells &amp; Chimes</c:v>
                </c:pt>
                <c:pt idx="16">
                  <c:v>1083-Hand Percussion Stands &amp; Mounts</c:v>
                </c:pt>
                <c:pt idx="17">
                  <c:v>1087-Harmonica Holders</c:v>
                </c:pt>
                <c:pt idx="18">
                  <c:v>1089-Hockey Fan Accessories</c:v>
                </c:pt>
                <c:pt idx="19">
                  <c:v>1095-Jewelry Findings</c:v>
                </c:pt>
                <c:pt idx="20">
                  <c:v>1096-Knitting Needles</c:v>
                </c:pt>
                <c:pt idx="21">
                  <c:v>118-iPhone 6s 16GB   Gold (AT&amp;T)</c:v>
                </c:pt>
                <c:pt idx="22">
                  <c:v>131-Galaxy S6 4G with 32GB Memory Cell Phone   White Pearl (AT&amp;T)</c:v>
                </c:pt>
                <c:pt idx="23">
                  <c:v>154-Character Support Stand for Pill Speakers   Pink</c:v>
                </c:pt>
                <c:pt idx="24">
                  <c:v>158-Stanmore Bluetooth Speaker   Black</c:v>
                </c:pt>
                <c:pt idx="25">
                  <c:v>159-420W Portable Party Speaker System with Apple® iPod® and iPhone® Dock   Black</c:v>
                </c:pt>
                <c:pt idx="26">
                  <c:v>163-CallJax 3.5mm Audio Cable   Black</c:v>
                </c:pt>
                <c:pt idx="27">
                  <c:v>171-PowerBlock Micro Wall Charger for Select Apple® Devices   White</c:v>
                </c:pt>
                <c:pt idx="28">
                  <c:v>176-SoundLink® Mini Bluetooth Speaker II   Carbon</c:v>
                </c:pt>
                <c:pt idx="29">
                  <c:v>182-Portable Bluetooth Stereo Speaker   Black</c:v>
                </c:pt>
                <c:pt idx="30">
                  <c:v>183-SoundLink® Portable Bluetooth Speaker III   Silver/Black</c:v>
                </c:pt>
                <c:pt idx="31">
                  <c:v>184-SoundLink® Mini Bluetooth Speaker II   Pearl</c:v>
                </c:pt>
                <c:pt idx="32">
                  <c:v>185-Bluetooth Audio Transmitter   White</c:v>
                </c:pt>
                <c:pt idx="33">
                  <c:v>186-Flip 3 Portable Bluetooth Speaker   Black</c:v>
                </c:pt>
                <c:pt idx="34">
                  <c:v>188-SoundLink® Color Bluetooth Speaker   Blue</c:v>
                </c:pt>
                <c:pt idx="35">
                  <c:v>190-Mini Life Jacket Bluetooth Speaker   Blue</c:v>
                </c:pt>
                <c:pt idx="36">
                  <c:v>200-Hangtime Wireless Bluetooth Speaker   Black</c:v>
                </c:pt>
                <c:pt idx="37">
                  <c:v>205-65" Class (64.5" Diag.)   LED   Curved</c:v>
                </c:pt>
                <c:pt idx="38">
                  <c:v>23-M Series   55" Class (55" Diag.)</c:v>
                </c:pt>
                <c:pt idx="39">
                  <c:v>261-21.5All In One</c:v>
                </c:pt>
                <c:pt idx="40">
                  <c:v>275-Gamer Ultra Desktop   AMD FX Series</c:v>
                </c:pt>
                <c:pt idx="41">
                  <c:v>290-21.5" LED HD Monitor   Black</c:v>
                </c:pt>
                <c:pt idx="42">
                  <c:v>294-21.5" LED HD Touch Screen Monitor   Black</c:v>
                </c:pt>
                <c:pt idx="43">
                  <c:v>304-Over the Ear Wireless Headphones</c:v>
                </c:pt>
                <c:pt idx="44">
                  <c:v>308-Tone Infinim Wireless Earbud Headphones   Metallic Silver</c:v>
                </c:pt>
                <c:pt idx="45">
                  <c:v>309-Tone Pro Bluetooth Headset   Black</c:v>
                </c:pt>
                <c:pt idx="46">
                  <c:v>318-Noise Canceling Over the</c:v>
                </c:pt>
                <c:pt idx="47">
                  <c:v>319-EX Earbud Headphones   White</c:v>
                </c:pt>
                <c:pt idx="48">
                  <c:v>320-ZX Series On Ear Headphones   White</c:v>
                </c:pt>
                <c:pt idx="49">
                  <c:v>321-Earbud Headphones   Black</c:v>
                </c:pt>
                <c:pt idx="50">
                  <c:v>322-Gumy Plus Earbud Headphones   Black</c:v>
                </c:pt>
                <c:pt idx="51">
                  <c:v>325-Uproar On Ear Headphones   Black</c:v>
                </c:pt>
                <c:pt idx="52">
                  <c:v>327-20' Headphone Extension Cable and Adapter Kit   Black</c:v>
                </c:pt>
                <c:pt idx="53">
                  <c:v>328-Ink'd 2 Earbud Headphones   Blue/Black</c:v>
                </c:pt>
                <c:pt idx="54">
                  <c:v>333-Step Up EX Series Earbud Headphones   Black</c:v>
                </c:pt>
                <c:pt idx="55">
                  <c:v>334-urBeats Earbud Headphones   Black</c:v>
                </c:pt>
                <c:pt idx="56">
                  <c:v>33-65" Class (64.5" Diag.)   LED   2160p</c:v>
                </c:pt>
                <c:pt idx="57">
                  <c:v>336-EX Series Earbud Headphones   Black</c:v>
                </c:pt>
                <c:pt idx="58">
                  <c:v>342-Gumy Earbud Headphones   White</c:v>
                </c:pt>
                <c:pt idx="59">
                  <c:v>345-Step Wireless Earbud Headphones   Black</c:v>
                </c:pt>
                <c:pt idx="60">
                  <c:v>346-Survivor AUX 4' Auxiliary Audio Cable   Blue</c:v>
                </c:pt>
                <c:pt idx="61">
                  <c:v>351-Geek Squad Certified Refurbished iPod nano® 16GB MP3 Player (8th Generation   Latest Model)   Space Gray</c:v>
                </c:pt>
                <c:pt idx="62">
                  <c:v>354-Geek Squad Certified Refurbished iPod touch® 16GB MP3 Player (6th Generation   Latest Model)   Gold</c:v>
                </c:pt>
                <c:pt idx="63">
                  <c:v>355-iPod nano® 16GB MP3 Player (8th Generation   Latest Model)   Gold</c:v>
                </c:pt>
                <c:pt idx="64">
                  <c:v>360-iPod nano® 16GB MP3 Player (8th Generation   Latest Model)   Space Gray</c:v>
                </c:pt>
                <c:pt idx="65">
                  <c:v>368-iPod touch® 64GB MP3 Player (6th Generation   Latest Model)   White/Silver</c:v>
                </c:pt>
                <c:pt idx="66">
                  <c:v>369-iPod shuffle® 2GB MP3 Player (6th Generation   Latest Model)   Gold</c:v>
                </c:pt>
                <c:pt idx="67">
                  <c:v>372-$15 iTunes Gift Card   Blue/Purple</c:v>
                </c:pt>
                <c:pt idx="68">
                  <c:v>377-iPod nano® 16GB MP3 Player (8th Generation   Latest Model)   Space Gray</c:v>
                </c:pt>
                <c:pt idx="69">
                  <c:v>378-iPod touch® 16GB MP3 Player (6th Generation   Latest Model)   Blue</c:v>
                </c:pt>
                <c:pt idx="70">
                  <c:v>37-AQUOS   70" Class (69.5" Diag.)   LED</c:v>
                </c:pt>
                <c:pt idx="71">
                  <c:v>380-iPod touch® 16GB MP3 Player (6th Generation   Latest Model)   Space Gray</c:v>
                </c:pt>
                <c:pt idx="72">
                  <c:v>381-iPod nano® 16GB MP3 Player (8th Generation   Latest Model)   Gold</c:v>
                </c:pt>
                <c:pt idx="73">
                  <c:v>384-iPod touch® 32GB MP3 Player (6th Generation   Latest Model)   Space Gray</c:v>
                </c:pt>
                <c:pt idx="74">
                  <c:v>385-iPod shuffle® 2GB MP3 Player (6th Generation   Latest Model)   White &amp; Silver</c:v>
                </c:pt>
                <c:pt idx="75">
                  <c:v>38-65" Class (64.5" Diag.)   LED   Curved</c:v>
                </c:pt>
                <c:pt idx="76">
                  <c:v>390-iPod nano® 16GB MP3 Player (8th Generation   Latest Model)   Silver</c:v>
                </c:pt>
                <c:pt idx="77">
                  <c:v>392-iPod touch® 16GB MP3 Player (6th Generation   Latest Model)   Silver</c:v>
                </c:pt>
                <c:pt idx="78">
                  <c:v>405-Flip 2 in 1 10.1Touch</c:v>
                </c:pt>
                <c:pt idx="79">
                  <c:v>424-ENVY x360 2 in 1 15.6Touch</c:v>
                </c:pt>
                <c:pt idx="80">
                  <c:v>444-Aspire 15.6" Laptop   Intel Celeron   4GB Memory</c:v>
                </c:pt>
                <c:pt idx="81">
                  <c:v>4-50" Class (49.5" Diag.)   LED   2160p</c:v>
                </c:pt>
                <c:pt idx="82">
                  <c:v>462-65" Class (64.5" Diag.)   LED   Curved</c:v>
                </c:pt>
                <c:pt idx="83">
                  <c:v>470-43" Class (42.5" Diag.)   LED   1080p</c:v>
                </c:pt>
                <c:pt idx="84">
                  <c:v>501-EF 85mm f/1.8 USM Medium Telephoto Lens   Black</c:v>
                </c:pt>
                <c:pt idx="85">
                  <c:v>510-AF S DX NIKKOR 55 300mm f/4.5</c:v>
                </c:pt>
                <c:pt idx="86">
                  <c:v>52-Plus Portable Bluetooth Speaker   Gray</c:v>
                </c:pt>
                <c:pt idx="87">
                  <c:v>54-Protector Case for 5th Generation Apple® iPod® touch   Black</c:v>
                </c:pt>
                <c:pt idx="88">
                  <c:v>556-Sonnar T FE 55mm f/1.8 ZA Lens for Most Sony a7 Series Cameras   Black</c:v>
                </c:pt>
                <c:pt idx="89">
                  <c:v>57-4' Micro USB Charge and Sync Cable</c:v>
                </c:pt>
                <c:pt idx="90">
                  <c:v>603-Pixtor 64GB SDXC Class 10 UHS 1 Memory Card   Black/Red</c:v>
                </c:pt>
                <c:pt idx="91">
                  <c:v>61-Apple MFi Certified 4' Touch On LED Lightning Charge and Sync Cable</c:v>
                </c:pt>
                <c:pt idx="92">
                  <c:v>65-Survivor Slim Case for Apple® iPod® touch 5th Generation   Turquoise/Lemon</c:v>
                </c:pt>
                <c:pt idx="93">
                  <c:v>66-Plus Portable Bluetooth Speaker   Pink</c:v>
                </c:pt>
                <c:pt idx="94">
                  <c:v>68-KaZoo Case for 5th Generation Apple® iPod® touch   Black</c:v>
                </c:pt>
                <c:pt idx="95">
                  <c:v>703-MFC 8950DW Wireless Black and</c:v>
                </c:pt>
                <c:pt idx="96">
                  <c:v>739-Officejet Pro 8610 e All in</c:v>
                </c:pt>
                <c:pt idx="97">
                  <c:v>766-Coolpix S9900 16.0 Megapixel Digital Camera   Black</c:v>
                </c:pt>
                <c:pt idx="98">
                  <c:v>78-BOOM Wireless Bluetooth Speaker   Black</c:v>
                </c:pt>
                <c:pt idx="99">
                  <c:v>796-D5300 DSLR Camera (Body Only)   Black</c:v>
                </c:pt>
                <c:pt idx="100">
                  <c:v>8-55" Class (54.6" Diag.)   LED   Curved</c:v>
                </c:pt>
                <c:pt idx="101">
                  <c:v>870-iPhone 6s Plus 64GB   Silver (Sprint)</c:v>
                </c:pt>
                <c:pt idx="102">
                  <c:v>87-Bullfrogz Case for Apple® iPod® touch 5th Generation   Black/Green</c:v>
                </c:pt>
                <c:pt idx="103">
                  <c:v>890-iPhone 6s 128GB   Space Gray (Sprint)</c:v>
                </c:pt>
                <c:pt idx="104">
                  <c:v>89-Call Jax Plus 3.5mm Audio Cable   Black</c:v>
                </c:pt>
                <c:pt idx="105">
                  <c:v>93-Courier Clip Case for Apple® iPod® nano 7th Generation   Black</c:v>
                </c:pt>
                <c:pt idx="106">
                  <c:v>946-iPhone 6s 16GB   Gold (Verizon Wireless)</c:v>
                </c:pt>
                <c:pt idx="107">
                  <c:v>9-55" Class (54.6" Diag.)   LED   2160p</c:v>
                </c:pt>
                <c:pt idx="108">
                  <c:v>976-G4 Cell Phone   Deep Blue (Verizon Wireless)</c:v>
                </c:pt>
                <c:pt idx="109">
                  <c:v>986-Art Ink</c:v>
                </c:pt>
              </c:strCache>
            </c:strRef>
          </c:cat>
          <c:val>
            <c:numRef>
              <c:f>'9inventory value'!$B$4:$B$114</c:f>
              <c:numCache>
                <c:formatCode>General</c:formatCode>
                <c:ptCount val="110"/>
                <c:pt idx="0">
                  <c:v>83.887850467289724</c:v>
                </c:pt>
                <c:pt idx="1">
                  <c:v>26.666666666666661</c:v>
                </c:pt>
                <c:pt idx="2">
                  <c:v>259.60000000000002</c:v>
                </c:pt>
                <c:pt idx="3">
                  <c:v>77.363636363636346</c:v>
                </c:pt>
                <c:pt idx="4">
                  <c:v>1566.9238095238097</c:v>
                </c:pt>
                <c:pt idx="5">
                  <c:v>885.05405405405395</c:v>
                </c:pt>
                <c:pt idx="6">
                  <c:v>169.69486823855755</c:v>
                </c:pt>
                <c:pt idx="7">
                  <c:v>495.78431372549022</c:v>
                </c:pt>
                <c:pt idx="8">
                  <c:v>80.636363636363626</c:v>
                </c:pt>
                <c:pt idx="9">
                  <c:v>2631.2427184466019</c:v>
                </c:pt>
                <c:pt idx="10">
                  <c:v>861.72727272727252</c:v>
                </c:pt>
                <c:pt idx="11">
                  <c:v>577.36363636363649</c:v>
                </c:pt>
                <c:pt idx="12">
                  <c:v>270</c:v>
                </c:pt>
                <c:pt idx="13">
                  <c:v>250.29411764705884</c:v>
                </c:pt>
                <c:pt idx="14">
                  <c:v>466.18181818181819</c:v>
                </c:pt>
                <c:pt idx="15">
                  <c:v>376.87387387387389</c:v>
                </c:pt>
                <c:pt idx="16">
                  <c:v>42.128712871287128</c:v>
                </c:pt>
                <c:pt idx="17">
                  <c:v>95.360360360360346</c:v>
                </c:pt>
                <c:pt idx="18">
                  <c:v>148.6363636363636</c:v>
                </c:pt>
                <c:pt idx="19">
                  <c:v>21.7843137254902</c:v>
                </c:pt>
                <c:pt idx="20">
                  <c:v>100.54545454545453</c:v>
                </c:pt>
                <c:pt idx="21">
                  <c:v>863.96261682243005</c:v>
                </c:pt>
                <c:pt idx="22">
                  <c:v>294.95454545454538</c:v>
                </c:pt>
                <c:pt idx="23">
                  <c:v>57.216981132075453</c:v>
                </c:pt>
                <c:pt idx="24">
                  <c:v>126.0194174757282</c:v>
                </c:pt>
                <c:pt idx="25">
                  <c:v>41.310679611650478</c:v>
                </c:pt>
                <c:pt idx="26">
                  <c:v>144.9047619047619</c:v>
                </c:pt>
                <c:pt idx="27">
                  <c:v>1691.8000000000002</c:v>
                </c:pt>
                <c:pt idx="28">
                  <c:v>162.09523809523807</c:v>
                </c:pt>
                <c:pt idx="29">
                  <c:v>596.32075471698101</c:v>
                </c:pt>
                <c:pt idx="30">
                  <c:v>83.774509803921575</c:v>
                </c:pt>
                <c:pt idx="31">
                  <c:v>243.69369369369366</c:v>
                </c:pt>
                <c:pt idx="32">
                  <c:v>149.94174757281556</c:v>
                </c:pt>
                <c:pt idx="33">
                  <c:v>114.9</c:v>
                </c:pt>
                <c:pt idx="34">
                  <c:v>757.117117117117</c:v>
                </c:pt>
                <c:pt idx="35">
                  <c:v>206</c:v>
                </c:pt>
                <c:pt idx="36">
                  <c:v>357.37864077669911</c:v>
                </c:pt>
                <c:pt idx="37">
                  <c:v>72.807692307692307</c:v>
                </c:pt>
                <c:pt idx="38">
                  <c:v>275.45454545454538</c:v>
                </c:pt>
                <c:pt idx="39">
                  <c:v>40.036036036036037</c:v>
                </c:pt>
                <c:pt idx="40">
                  <c:v>165.85436893203885</c:v>
                </c:pt>
                <c:pt idx="41">
                  <c:v>81.400000000000006</c:v>
                </c:pt>
                <c:pt idx="42">
                  <c:v>857.36538461538464</c:v>
                </c:pt>
                <c:pt idx="43">
                  <c:v>471.42857142857139</c:v>
                </c:pt>
                <c:pt idx="44">
                  <c:v>73.513513513513502</c:v>
                </c:pt>
                <c:pt idx="45">
                  <c:v>243.14285714285717</c:v>
                </c:pt>
                <c:pt idx="46">
                  <c:v>253.00000000000003</c:v>
                </c:pt>
                <c:pt idx="47">
                  <c:v>768.86915887850466</c:v>
                </c:pt>
                <c:pt idx="48">
                  <c:v>560.58095238095257</c:v>
                </c:pt>
                <c:pt idx="49">
                  <c:v>378.7</c:v>
                </c:pt>
                <c:pt idx="50">
                  <c:v>1315.6213592233009</c:v>
                </c:pt>
                <c:pt idx="51">
                  <c:v>300.92857142857144</c:v>
                </c:pt>
                <c:pt idx="52">
                  <c:v>243.14285714285717</c:v>
                </c:pt>
                <c:pt idx="53">
                  <c:v>41.924528301886802</c:v>
                </c:pt>
                <c:pt idx="54">
                  <c:v>113.1428571428571</c:v>
                </c:pt>
                <c:pt idx="55">
                  <c:v>3764.1388888888891</c:v>
                </c:pt>
                <c:pt idx="56">
                  <c:v>254.18181818181813</c:v>
                </c:pt>
                <c:pt idx="57">
                  <c:v>474.81481481481478</c:v>
                </c:pt>
                <c:pt idx="58">
                  <c:v>1452.1359223300972</c:v>
                </c:pt>
                <c:pt idx="59">
                  <c:v>399.70297029702954</c:v>
                </c:pt>
                <c:pt idx="60">
                  <c:v>252.8</c:v>
                </c:pt>
                <c:pt idx="61">
                  <c:v>3799.3177570093471</c:v>
                </c:pt>
                <c:pt idx="62">
                  <c:v>1212.851851851852</c:v>
                </c:pt>
                <c:pt idx="63">
                  <c:v>198.34951456310679</c:v>
                </c:pt>
                <c:pt idx="64">
                  <c:v>116.5454545454545</c:v>
                </c:pt>
                <c:pt idx="65">
                  <c:v>183.69369369369369</c:v>
                </c:pt>
                <c:pt idx="66">
                  <c:v>388.48214285714278</c:v>
                </c:pt>
                <c:pt idx="67">
                  <c:v>1180.0720720720722</c:v>
                </c:pt>
                <c:pt idx="68">
                  <c:v>55.480582524271853</c:v>
                </c:pt>
                <c:pt idx="69">
                  <c:v>127.07619047619048</c:v>
                </c:pt>
                <c:pt idx="70">
                  <c:v>111.22727272727272</c:v>
                </c:pt>
                <c:pt idx="71">
                  <c:v>42.238095238095241</c:v>
                </c:pt>
                <c:pt idx="72">
                  <c:v>918.10810810810801</c:v>
                </c:pt>
                <c:pt idx="73">
                  <c:v>120.37142857142858</c:v>
                </c:pt>
                <c:pt idx="74">
                  <c:v>42.32380952380953</c:v>
                </c:pt>
                <c:pt idx="75">
                  <c:v>2509.4259259259261</c:v>
                </c:pt>
                <c:pt idx="76">
                  <c:v>42.128712871287128</c:v>
                </c:pt>
                <c:pt idx="77">
                  <c:v>137.21495327102804</c:v>
                </c:pt>
                <c:pt idx="78">
                  <c:v>169.20792079207922</c:v>
                </c:pt>
                <c:pt idx="79">
                  <c:v>266.90909090909088</c:v>
                </c:pt>
                <c:pt idx="80">
                  <c:v>177.48571428571429</c:v>
                </c:pt>
                <c:pt idx="81">
                  <c:v>641.98095238095243</c:v>
                </c:pt>
                <c:pt idx="82">
                  <c:v>255.3267326732674</c:v>
                </c:pt>
                <c:pt idx="83">
                  <c:v>50.628571428571433</c:v>
                </c:pt>
                <c:pt idx="84">
                  <c:v>699.18181818181802</c:v>
                </c:pt>
                <c:pt idx="85">
                  <c:v>181.76699029126212</c:v>
                </c:pt>
                <c:pt idx="86">
                  <c:v>131.31428571428569</c:v>
                </c:pt>
                <c:pt idx="87">
                  <c:v>36.72727272727272</c:v>
                </c:pt>
                <c:pt idx="88">
                  <c:v>116.13881401617249</c:v>
                </c:pt>
                <c:pt idx="89">
                  <c:v>80.792079207920793</c:v>
                </c:pt>
                <c:pt idx="90">
                  <c:v>79.44805194805194</c:v>
                </c:pt>
                <c:pt idx="91">
                  <c:v>107.37864077669902</c:v>
                </c:pt>
                <c:pt idx="92">
                  <c:v>41.532710280373827</c:v>
                </c:pt>
                <c:pt idx="93">
                  <c:v>238.5981308411215</c:v>
                </c:pt>
                <c:pt idx="94">
                  <c:v>573</c:v>
                </c:pt>
                <c:pt idx="95">
                  <c:v>168.57142857142858</c:v>
                </c:pt>
                <c:pt idx="96">
                  <c:v>84.257425742574256</c:v>
                </c:pt>
                <c:pt idx="97">
                  <c:v>68.716931216931215</c:v>
                </c:pt>
                <c:pt idx="98">
                  <c:v>113.6936936936937</c:v>
                </c:pt>
                <c:pt idx="99">
                  <c:v>204.3</c:v>
                </c:pt>
                <c:pt idx="100">
                  <c:v>154.72727272727269</c:v>
                </c:pt>
                <c:pt idx="101">
                  <c:v>74.112149532710276</c:v>
                </c:pt>
                <c:pt idx="102">
                  <c:v>1488.5</c:v>
                </c:pt>
                <c:pt idx="103">
                  <c:v>953.79611650485458</c:v>
                </c:pt>
                <c:pt idx="104">
                  <c:v>1448.4615384615386</c:v>
                </c:pt>
                <c:pt idx="105">
                  <c:v>72.570093457943926</c:v>
                </c:pt>
                <c:pt idx="106">
                  <c:v>24.666666666666671</c:v>
                </c:pt>
                <c:pt idx="107">
                  <c:v>74.181818181818173</c:v>
                </c:pt>
                <c:pt idx="108">
                  <c:v>261.33009708737859</c:v>
                </c:pt>
                <c:pt idx="109">
                  <c:v>405.38235294117652</c:v>
                </c:pt>
              </c:numCache>
            </c:numRef>
          </c:val>
          <c:extLst>
            <c:ext xmlns:c16="http://schemas.microsoft.com/office/drawing/2014/chart" uri="{C3380CC4-5D6E-409C-BE32-E72D297353CC}">
              <c16:uniqueId val="{000000DC-69D4-4728-A87D-8A5AAD00466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DASHBOARD.xlsx]12 total profit by region!PivotTable33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TOTAL PROFIT BY REGION</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6.7261361898715774E-2"/>
          <c:y val="0.14787704922567901"/>
          <c:w val="0.79407708135632149"/>
          <c:h val="0.78818600302093078"/>
        </c:manualLayout>
      </c:layout>
      <c:barChart>
        <c:barDir val="col"/>
        <c:grouping val="stacked"/>
        <c:varyColors val="0"/>
        <c:ser>
          <c:idx val="0"/>
          <c:order val="0"/>
          <c:tx>
            <c:strRef>
              <c:f>'12 total profit by region'!$B$3</c:f>
              <c:strCache>
                <c:ptCount val="1"/>
                <c:pt idx="0">
                  <c:v>Total</c:v>
                </c:pt>
              </c:strCache>
            </c:strRef>
          </c:tx>
          <c:invertIfNegative val="0"/>
          <c:cat>
            <c:strRef>
              <c:f>'12 total profit by region'!$A$4:$A$9</c:f>
              <c:strCache>
                <c:ptCount val="5"/>
                <c:pt idx="0">
                  <c:v>East</c:v>
                </c:pt>
                <c:pt idx="1">
                  <c:v>Midwest</c:v>
                </c:pt>
                <c:pt idx="2">
                  <c:v>South</c:v>
                </c:pt>
                <c:pt idx="3">
                  <c:v>Southwest</c:v>
                </c:pt>
                <c:pt idx="4">
                  <c:v>West</c:v>
                </c:pt>
              </c:strCache>
            </c:strRef>
          </c:cat>
          <c:val>
            <c:numRef>
              <c:f>'12 total profit by region'!$B$4:$B$9</c:f>
              <c:numCache>
                <c:formatCode>General</c:formatCode>
                <c:ptCount val="5"/>
                <c:pt idx="0">
                  <c:v>1632.5602891270003</c:v>
                </c:pt>
                <c:pt idx="1">
                  <c:v>2421.215989451</c:v>
                </c:pt>
                <c:pt idx="2">
                  <c:v>5284.5541495800007</c:v>
                </c:pt>
                <c:pt idx="3">
                  <c:v>2067.3794902830005</c:v>
                </c:pt>
                <c:pt idx="4">
                  <c:v>4060.2434544729999</c:v>
                </c:pt>
              </c:numCache>
            </c:numRef>
          </c:val>
          <c:extLst>
            <c:ext xmlns:c16="http://schemas.microsoft.com/office/drawing/2014/chart" uri="{C3380CC4-5D6E-409C-BE32-E72D297353CC}">
              <c16:uniqueId val="{00000000-9404-4369-9FBA-564AC0C61D61}"/>
            </c:ext>
          </c:extLst>
        </c:ser>
        <c:dLbls>
          <c:showLegendKey val="0"/>
          <c:showVal val="0"/>
          <c:showCatName val="0"/>
          <c:showSerName val="0"/>
          <c:showPercent val="0"/>
          <c:showBubbleSize val="0"/>
        </c:dLbls>
        <c:gapWidth val="150"/>
        <c:overlap val="100"/>
        <c:axId val="1260093855"/>
        <c:axId val="1260092415"/>
      </c:barChart>
      <c:catAx>
        <c:axId val="126009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92415"/>
        <c:crosses val="autoZero"/>
        <c:auto val="1"/>
        <c:lblAlgn val="ctr"/>
        <c:lblOffset val="100"/>
        <c:noMultiLvlLbl val="0"/>
      </c:catAx>
      <c:valAx>
        <c:axId val="1260092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9385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DASHBOARD.xlsx]4daily sales trend!PivotTable15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DAILY</a:t>
            </a:r>
            <a:r>
              <a:rPr lang="en-US" baseline="0"/>
              <a:t> SALES TRENDS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465069991251093"/>
          <c:y val="0.17501312335958005"/>
          <c:w val="0.50889326334208229"/>
          <c:h val="0.68980971128608926"/>
        </c:manualLayout>
      </c:layout>
      <c:barChart>
        <c:barDir val="bar"/>
        <c:grouping val="clustered"/>
        <c:varyColors val="0"/>
        <c:ser>
          <c:idx val="0"/>
          <c:order val="0"/>
          <c:tx>
            <c:strRef>
              <c:f>'4daily sales trend'!$B$3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'4daily sales trend'!$A$4:$A$18</c:f>
              <c:strCache>
                <c:ptCount val="14"/>
                <c:pt idx="0">
                  <c:v>31-10-2019 10:33</c:v>
                </c:pt>
                <c:pt idx="1">
                  <c:v>03-11-2019 00:50</c:v>
                </c:pt>
                <c:pt idx="2">
                  <c:v>17-11-2019 12:19</c:v>
                </c:pt>
                <c:pt idx="3">
                  <c:v>20-10-2020 01:19</c:v>
                </c:pt>
                <c:pt idx="4">
                  <c:v>28-11-2020 17:08</c:v>
                </c:pt>
                <c:pt idx="5">
                  <c:v>05-10-2021 04:16</c:v>
                </c:pt>
                <c:pt idx="6">
                  <c:v>31-10-2021 13:55</c:v>
                </c:pt>
                <c:pt idx="7">
                  <c:v>02-11-2021 08:13</c:v>
                </c:pt>
                <c:pt idx="8">
                  <c:v>19-11-2021 03:20</c:v>
                </c:pt>
                <c:pt idx="9">
                  <c:v>24-11-2021 17:37</c:v>
                </c:pt>
                <c:pt idx="10">
                  <c:v>21-10-2022 20:52</c:v>
                </c:pt>
                <c:pt idx="11">
                  <c:v>26-10-2022 15:51</c:v>
                </c:pt>
                <c:pt idx="12">
                  <c:v>29-10-2022 13:07</c:v>
                </c:pt>
                <c:pt idx="13">
                  <c:v>29-11-2022 13:41</c:v>
                </c:pt>
              </c:strCache>
            </c:strRef>
          </c:cat>
          <c:val>
            <c:numRef>
              <c:f>'4daily sales trend'!$B$4:$B$18</c:f>
              <c:numCache>
                <c:formatCode>General</c:formatCode>
                <c:ptCount val="14"/>
                <c:pt idx="0">
                  <c:v>114</c:v>
                </c:pt>
                <c:pt idx="1">
                  <c:v>115</c:v>
                </c:pt>
                <c:pt idx="2">
                  <c:v>471</c:v>
                </c:pt>
                <c:pt idx="3">
                  <c:v>109.5</c:v>
                </c:pt>
                <c:pt idx="4">
                  <c:v>240</c:v>
                </c:pt>
                <c:pt idx="5">
                  <c:v>99</c:v>
                </c:pt>
                <c:pt idx="6">
                  <c:v>204</c:v>
                </c:pt>
                <c:pt idx="7">
                  <c:v>240</c:v>
                </c:pt>
                <c:pt idx="8">
                  <c:v>230.5</c:v>
                </c:pt>
                <c:pt idx="9">
                  <c:v>723</c:v>
                </c:pt>
                <c:pt idx="10">
                  <c:v>335.5</c:v>
                </c:pt>
                <c:pt idx="11">
                  <c:v>287.5</c:v>
                </c:pt>
                <c:pt idx="12">
                  <c:v>360</c:v>
                </c:pt>
                <c:pt idx="13">
                  <c:v>146.5</c:v>
                </c:pt>
              </c:numCache>
            </c:numRef>
          </c:val>
          <c:extLst>
            <c:ext xmlns:c16="http://schemas.microsoft.com/office/drawing/2014/chart" uri="{C3380CC4-5D6E-409C-BE32-E72D297353CC}">
              <c16:uniqueId val="{00000000-5F46-4AFC-82CC-64C65FA84B97}"/>
            </c:ext>
          </c:extLst>
        </c:ser>
        <c:dLbls>
          <c:showLegendKey val="0"/>
          <c:showVal val="0"/>
          <c:showCatName val="0"/>
          <c:showSerName val="0"/>
          <c:showPercent val="0"/>
          <c:showBubbleSize val="0"/>
        </c:dLbls>
        <c:gapWidth val="115"/>
        <c:overlap val="-20"/>
        <c:axId val="1554212656"/>
        <c:axId val="1554207856"/>
      </c:barChart>
      <c:catAx>
        <c:axId val="15542126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4207856"/>
        <c:crosses val="autoZero"/>
        <c:auto val="1"/>
        <c:lblAlgn val="ctr"/>
        <c:lblOffset val="100"/>
        <c:noMultiLvlLbl val="0"/>
      </c:catAx>
      <c:valAx>
        <c:axId val="155420785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421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DASHBOARD.xlsx]5brand wise sales!PivotTable16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FF0000"/>
                </a:solidFill>
              </a:rPr>
              <a:t>BRAND</a:t>
            </a:r>
            <a:r>
              <a:rPr lang="en-IN" sz="1600" b="1" baseline="0">
                <a:solidFill>
                  <a:srgbClr val="FF0000"/>
                </a:solidFill>
              </a:rPr>
              <a:t> WISE SALES</a:t>
            </a:r>
            <a:endParaRPr lang="en-IN" sz="1600" b="1">
              <a:solidFill>
                <a:srgbClr val="FF0000"/>
              </a:solidFill>
            </a:endParaRPr>
          </a:p>
        </c:rich>
      </c:tx>
      <c:layout>
        <c:manualLayout>
          <c:xMode val="edge"/>
          <c:yMode val="edge"/>
          <c:x val="0.33846063121543124"/>
          <c:y val="6.22636625058216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s>
    <c:plotArea>
      <c:layout>
        <c:manualLayout>
          <c:layoutTarget val="inner"/>
          <c:xMode val="edge"/>
          <c:yMode val="edge"/>
          <c:x val="1.4618723729237592E-2"/>
          <c:y val="0.18062475754731486"/>
          <c:w val="0.60924580141824503"/>
          <c:h val="0.83506455909517674"/>
        </c:manualLayout>
      </c:layout>
      <c:doughnutChart>
        <c:varyColors val="1"/>
        <c:ser>
          <c:idx val="0"/>
          <c:order val="0"/>
          <c:tx>
            <c:strRef>
              <c:f>'5brand wise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ED-4025-A557-3E3A2FCE69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ED-4025-A557-3E3A2FCE69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ED-4025-A557-3E3A2FCE69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ED-4025-A557-3E3A2FCE69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0ED-4025-A557-3E3A2FCE694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0ED-4025-A557-3E3A2FCE694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0ED-4025-A557-3E3A2FCE694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0ED-4025-A557-3E3A2FCE694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0ED-4025-A557-3E3A2FCE694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0ED-4025-A557-3E3A2FCE694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0ED-4025-A557-3E3A2FCE694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0ED-4025-A557-3E3A2FCE694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0ED-4025-A557-3E3A2FCE6946}"/>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0ED-4025-A557-3E3A2FCE6946}"/>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0ED-4025-A557-3E3A2FCE6946}"/>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80ED-4025-A557-3E3A2FCE6946}"/>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80ED-4025-A557-3E3A2FCE6946}"/>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80ED-4025-A557-3E3A2FCE6946}"/>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80ED-4025-A557-3E3A2FCE6946}"/>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80ED-4025-A557-3E3A2FCE6946}"/>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80ED-4025-A557-3E3A2FCE6946}"/>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80ED-4025-A557-3E3A2FCE6946}"/>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80ED-4025-A557-3E3A2FCE6946}"/>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80ED-4025-A557-3E3A2FCE6946}"/>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80ED-4025-A557-3E3A2FCE6946}"/>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80ED-4025-A557-3E3A2FCE6946}"/>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80ED-4025-A557-3E3A2FCE6946}"/>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80ED-4025-A557-3E3A2FCE6946}"/>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80ED-4025-A557-3E3A2FCE6946}"/>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80ED-4025-A557-3E3A2FCE6946}"/>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80ED-4025-A557-3E3A2FCE6946}"/>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80ED-4025-A557-3E3A2FCE6946}"/>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80ED-4025-A557-3E3A2FCE6946}"/>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80ED-4025-A557-3E3A2FCE6946}"/>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80ED-4025-A557-3E3A2FCE6946}"/>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80ED-4025-A557-3E3A2FCE6946}"/>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80ED-4025-A557-3E3A2FCE6946}"/>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80ED-4025-A557-3E3A2FCE6946}"/>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80ED-4025-A557-3E3A2FCE6946}"/>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80ED-4025-A557-3E3A2FCE6946}"/>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80ED-4025-A557-3E3A2FCE6946}"/>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80ED-4025-A557-3E3A2FCE6946}"/>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80ED-4025-A557-3E3A2FCE6946}"/>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80ED-4025-A557-3E3A2FCE6946}"/>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80ED-4025-A557-3E3A2FCE6946}"/>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80ED-4025-A557-3E3A2FCE6946}"/>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80ED-4025-A557-3E3A2FCE6946}"/>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80ED-4025-A557-3E3A2FCE6946}"/>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80ED-4025-A557-3E3A2FCE6946}"/>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80ED-4025-A557-3E3A2FCE6946}"/>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80ED-4025-A557-3E3A2FCE6946}"/>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80ED-4025-A557-3E3A2FCE6946}"/>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80ED-4025-A557-3E3A2FCE6946}"/>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80ED-4025-A557-3E3A2FCE6946}"/>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80ED-4025-A557-3E3A2FCE6946}"/>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80ED-4025-A557-3E3A2FCE6946}"/>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80ED-4025-A557-3E3A2FCE6946}"/>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80ED-4025-A557-3E3A2FCE6946}"/>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80ED-4025-A557-3E3A2FCE6946}"/>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80ED-4025-A557-3E3A2FCE6946}"/>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80ED-4025-A557-3E3A2FCE6946}"/>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80ED-4025-A557-3E3A2FCE6946}"/>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80ED-4025-A557-3E3A2FCE6946}"/>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80ED-4025-A557-3E3A2FCE6946}"/>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80ED-4025-A557-3E3A2FCE6946}"/>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80ED-4025-A557-3E3A2FCE6946}"/>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80ED-4025-A557-3E3A2FCE6946}"/>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80ED-4025-A557-3E3A2FCE6946}"/>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80ED-4025-A557-3E3A2FCE6946}"/>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80ED-4025-A557-3E3A2FCE6946}"/>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80ED-4025-A557-3E3A2FCE6946}"/>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80ED-4025-A557-3E3A2FCE6946}"/>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80ED-4025-A557-3E3A2FCE6946}"/>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80ED-4025-A557-3E3A2FCE6946}"/>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80ED-4025-A557-3E3A2FCE6946}"/>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80ED-4025-A557-3E3A2FCE6946}"/>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80ED-4025-A557-3E3A2FCE6946}"/>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80ED-4025-A557-3E3A2FCE6946}"/>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80ED-4025-A557-3E3A2FCE6946}"/>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80ED-4025-A557-3E3A2FCE6946}"/>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80ED-4025-A557-3E3A2FCE6946}"/>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80ED-4025-A557-3E3A2FCE6946}"/>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80ED-4025-A557-3E3A2FCE6946}"/>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80ED-4025-A557-3E3A2FCE6946}"/>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80ED-4025-A557-3E3A2FCE6946}"/>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80ED-4025-A557-3E3A2FCE6946}"/>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80ED-4025-A557-3E3A2FCE6946}"/>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80ED-4025-A557-3E3A2FCE6946}"/>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80ED-4025-A557-3E3A2FCE6946}"/>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80ED-4025-A557-3E3A2FCE6946}"/>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80ED-4025-A557-3E3A2FCE6946}"/>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80ED-4025-A557-3E3A2FCE6946}"/>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80ED-4025-A557-3E3A2FCE6946}"/>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80ED-4025-A557-3E3A2FCE6946}"/>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80ED-4025-A557-3E3A2FCE6946}"/>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80ED-4025-A557-3E3A2FCE6946}"/>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80ED-4025-A557-3E3A2FCE6946}"/>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80ED-4025-A557-3E3A2FCE6946}"/>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80ED-4025-A557-3E3A2FCE6946}"/>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80ED-4025-A557-3E3A2FCE6946}"/>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80ED-4025-A557-3E3A2FCE6946}"/>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80ED-4025-A557-3E3A2FCE6946}"/>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80ED-4025-A557-3E3A2FCE6946}"/>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80ED-4025-A557-3E3A2FCE6946}"/>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80ED-4025-A557-3E3A2FCE6946}"/>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80ED-4025-A557-3E3A2FCE6946}"/>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80ED-4025-A557-3E3A2FCE6946}"/>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80ED-4025-A557-3E3A2FCE6946}"/>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80ED-4025-A557-3E3A2FCE6946}"/>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80ED-4025-A557-3E3A2FCE6946}"/>
              </c:ext>
            </c:extLst>
          </c:dPt>
          <c:cat>
            <c:strRef>
              <c:f>'5brand wise sales'!$A$4:$A$5</c:f>
              <c:strCache>
                <c:ptCount val="1"/>
                <c:pt idx="0">
                  <c:v>1008-Brass Instrument Cleaning Tools</c:v>
                </c:pt>
              </c:strCache>
            </c:strRef>
          </c:cat>
          <c:val>
            <c:numRef>
              <c:f>'5brand wise sales'!$B$4:$B$5</c:f>
              <c:numCache>
                <c:formatCode>General</c:formatCode>
                <c:ptCount val="1"/>
                <c:pt idx="0">
                  <c:v>240</c:v>
                </c:pt>
              </c:numCache>
            </c:numRef>
          </c:val>
          <c:extLst>
            <c:ext xmlns:c16="http://schemas.microsoft.com/office/drawing/2014/chart" uri="{C3380CC4-5D6E-409C-BE32-E72D297353CC}">
              <c16:uniqueId val="{000000DC-80ED-4025-A557-3E3A2FCE694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6666674927928748"/>
          <c:y val="0.24380772403449569"/>
          <c:w val="0.33333325072071252"/>
          <c:h val="0.62107026621672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DASHBOARD.xlsx]6Gross profit!PivotTable2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GROSS PROFIT</a:t>
            </a:r>
          </a:p>
        </c:rich>
      </c:tx>
      <c:layout>
        <c:manualLayout>
          <c:xMode val="edge"/>
          <c:yMode val="edge"/>
          <c:x val="0.34113888888888888"/>
          <c:y val="6.84237386993292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01890956072465"/>
          <c:y val="0.20065625724034888"/>
          <c:w val="0.76196929512074396"/>
          <c:h val="0.62821231993817783"/>
        </c:manualLayout>
      </c:layout>
      <c:barChart>
        <c:barDir val="col"/>
        <c:grouping val="stacked"/>
        <c:varyColors val="0"/>
        <c:ser>
          <c:idx val="0"/>
          <c:order val="0"/>
          <c:tx>
            <c:strRef>
              <c:f>'6Gross profit'!$B$3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'6Gross profit'!$A$4:$A$18</c:f>
              <c:strCache>
                <c:ptCount val="14"/>
                <c:pt idx="0">
                  <c:v>31-10-2019 10:33</c:v>
                </c:pt>
                <c:pt idx="1">
                  <c:v>03-11-2019 00:50</c:v>
                </c:pt>
                <c:pt idx="2">
                  <c:v>17-11-2019 12:19</c:v>
                </c:pt>
                <c:pt idx="3">
                  <c:v>20-10-2020 01:19</c:v>
                </c:pt>
                <c:pt idx="4">
                  <c:v>28-11-2020 17:08</c:v>
                </c:pt>
                <c:pt idx="5">
                  <c:v>05-10-2021 04:16</c:v>
                </c:pt>
                <c:pt idx="6">
                  <c:v>31-10-2021 13:55</c:v>
                </c:pt>
                <c:pt idx="7">
                  <c:v>02-11-2021 08:13</c:v>
                </c:pt>
                <c:pt idx="8">
                  <c:v>19-11-2021 03:20</c:v>
                </c:pt>
                <c:pt idx="9">
                  <c:v>24-11-2021 17:37</c:v>
                </c:pt>
                <c:pt idx="10">
                  <c:v>21-10-2022 20:52</c:v>
                </c:pt>
                <c:pt idx="11">
                  <c:v>26-10-2022 15:51</c:v>
                </c:pt>
                <c:pt idx="12">
                  <c:v>29-10-2022 13:07</c:v>
                </c:pt>
                <c:pt idx="13">
                  <c:v>29-11-2022 13:41</c:v>
                </c:pt>
              </c:strCache>
            </c:strRef>
          </c:cat>
          <c:val>
            <c:numRef>
              <c:f>'6Gross profit'!$B$4:$B$18</c:f>
              <c:numCache>
                <c:formatCode>General</c:formatCode>
                <c:ptCount val="14"/>
                <c:pt idx="0">
                  <c:v>38.392523363999999</c:v>
                </c:pt>
                <c:pt idx="1">
                  <c:v>38.738317757000004</c:v>
                </c:pt>
                <c:pt idx="2">
                  <c:v>99.888888889999976</c:v>
                </c:pt>
                <c:pt idx="3">
                  <c:v>36.929906541999998</c:v>
                </c:pt>
                <c:pt idx="4">
                  <c:v>82.40740740999999</c:v>
                </c:pt>
                <c:pt idx="5">
                  <c:v>77.130841121000003</c:v>
                </c:pt>
                <c:pt idx="6">
                  <c:v>68.766355140000002</c:v>
                </c:pt>
                <c:pt idx="7">
                  <c:v>65.028037380000001</c:v>
                </c:pt>
                <c:pt idx="8">
                  <c:v>79.111111109999996</c:v>
                </c:pt>
                <c:pt idx="9">
                  <c:v>248.18518519000003</c:v>
                </c:pt>
                <c:pt idx="10">
                  <c:v>261.38785046700002</c:v>
                </c:pt>
                <c:pt idx="11">
                  <c:v>96.939252339999996</c:v>
                </c:pt>
                <c:pt idx="12">
                  <c:v>121.40186915999999</c:v>
                </c:pt>
                <c:pt idx="13">
                  <c:v>77.783068783000004</c:v>
                </c:pt>
              </c:numCache>
            </c:numRef>
          </c:val>
          <c:extLst>
            <c:ext xmlns:c16="http://schemas.microsoft.com/office/drawing/2014/chart" uri="{C3380CC4-5D6E-409C-BE32-E72D297353CC}">
              <c16:uniqueId val="{00000000-780F-4D11-BED0-97357BE77262}"/>
            </c:ext>
          </c:extLst>
        </c:ser>
        <c:dLbls>
          <c:showLegendKey val="0"/>
          <c:showVal val="0"/>
          <c:showCatName val="0"/>
          <c:showSerName val="0"/>
          <c:showPercent val="0"/>
          <c:showBubbleSize val="0"/>
        </c:dLbls>
        <c:gapWidth val="150"/>
        <c:overlap val="100"/>
        <c:axId val="1554160816"/>
        <c:axId val="1554174736"/>
      </c:barChart>
      <c:catAx>
        <c:axId val="15541608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4174736"/>
        <c:crosses val="autoZero"/>
        <c:auto val="1"/>
        <c:lblAlgn val="ctr"/>
        <c:lblOffset val="100"/>
        <c:noMultiLvlLbl val="0"/>
      </c:catAx>
      <c:valAx>
        <c:axId val="1554174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416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DASHBOARD.xlsx]10region wise sales!PivotTable13</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b="1">
                <a:solidFill>
                  <a:srgbClr val="FF0000"/>
                </a:solidFill>
              </a:rPr>
              <a:t>REGION WISE SALES</a:t>
            </a:r>
          </a:p>
        </c:rich>
      </c:tx>
      <c:layout>
        <c:manualLayout>
          <c:xMode val="edge"/>
          <c:yMode val="edge"/>
          <c:x val="0.12352777777777778"/>
          <c:y val="4.629629629629629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881856579162656"/>
          <c:y val="9.62298892130619E-2"/>
          <c:w val="0.49506182966774409"/>
          <c:h val="0.80056605970403505"/>
        </c:manualLayout>
      </c:layout>
      <c:barChart>
        <c:barDir val="bar"/>
        <c:grouping val="clustered"/>
        <c:varyColors val="0"/>
        <c:ser>
          <c:idx val="0"/>
          <c:order val="0"/>
          <c:tx>
            <c:strRef>
              <c:f>'10region wise sales'!$B$3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'10region wise sales'!$A$4:$A$9</c:f>
              <c:strCache>
                <c:ptCount val="5"/>
                <c:pt idx="0">
                  <c:v>East</c:v>
                </c:pt>
                <c:pt idx="1">
                  <c:v>Midwest</c:v>
                </c:pt>
                <c:pt idx="2">
                  <c:v>South</c:v>
                </c:pt>
                <c:pt idx="3">
                  <c:v>Southwest</c:v>
                </c:pt>
                <c:pt idx="4">
                  <c:v>West</c:v>
                </c:pt>
              </c:strCache>
            </c:strRef>
          </c:cat>
          <c:val>
            <c:numRef>
              <c:f>'10region wise sales'!$B$4:$B$9</c:f>
              <c:numCache>
                <c:formatCode>#,##0,"K"</c:formatCode>
                <c:ptCount val="5"/>
                <c:pt idx="0">
                  <c:v>1062</c:v>
                </c:pt>
                <c:pt idx="1">
                  <c:v>465.5</c:v>
                </c:pt>
                <c:pt idx="2">
                  <c:v>806.5</c:v>
                </c:pt>
                <c:pt idx="3">
                  <c:v>397</c:v>
                </c:pt>
                <c:pt idx="4">
                  <c:v>944.5</c:v>
                </c:pt>
              </c:numCache>
            </c:numRef>
          </c:val>
          <c:extLst>
            <c:ext xmlns:c16="http://schemas.microsoft.com/office/drawing/2014/chart" uri="{C3380CC4-5D6E-409C-BE32-E72D297353CC}">
              <c16:uniqueId val="{00000000-3BB7-479B-98AD-0BA2DA973F34}"/>
            </c:ext>
          </c:extLst>
        </c:ser>
        <c:dLbls>
          <c:dLblPos val="inEnd"/>
          <c:showLegendKey val="0"/>
          <c:showVal val="1"/>
          <c:showCatName val="0"/>
          <c:showSerName val="0"/>
          <c:showPercent val="0"/>
          <c:showBubbleSize val="0"/>
        </c:dLbls>
        <c:gapWidth val="182"/>
        <c:overlap val="-50"/>
        <c:axId val="1274138735"/>
        <c:axId val="1274142095"/>
      </c:barChart>
      <c:catAx>
        <c:axId val="127413873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4142095"/>
        <c:crosses val="autoZero"/>
        <c:auto val="1"/>
        <c:lblAlgn val="ctr"/>
        <c:lblOffset val="100"/>
        <c:noMultiLvlLbl val="0"/>
      </c:catAx>
      <c:valAx>
        <c:axId val="127414209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413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DASHBOARD.xlsx]11 total profit region!PivotTable40</c:name>
    <c:fmtId val="1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TOTAL PROFIT REGION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'11 total profit region'!$B$3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'11 total profit region'!$A$4:$A$9</c:f>
              <c:strCache>
                <c:ptCount val="5"/>
                <c:pt idx="0">
                  <c:v>East</c:v>
                </c:pt>
                <c:pt idx="1">
                  <c:v>Midwest</c:v>
                </c:pt>
                <c:pt idx="2">
                  <c:v>South</c:v>
                </c:pt>
                <c:pt idx="3">
                  <c:v>Southwest</c:v>
                </c:pt>
                <c:pt idx="4">
                  <c:v>West</c:v>
                </c:pt>
              </c:strCache>
            </c:strRef>
          </c:cat>
          <c:val>
            <c:numRef>
              <c:f>'11 total profit region'!$B$4:$B$9</c:f>
              <c:numCache>
                <c:formatCode>#,##0,"K"</c:formatCode>
                <c:ptCount val="5"/>
                <c:pt idx="0">
                  <c:v>1632.5602891270003</c:v>
                </c:pt>
                <c:pt idx="1">
                  <c:v>2421.215989451</c:v>
                </c:pt>
                <c:pt idx="2">
                  <c:v>5284.5541495800007</c:v>
                </c:pt>
                <c:pt idx="3">
                  <c:v>2067.3794902830005</c:v>
                </c:pt>
                <c:pt idx="4">
                  <c:v>4060.2434544729999</c:v>
                </c:pt>
              </c:numCache>
            </c:numRef>
          </c:val>
          <c:extLst>
            <c:ext xmlns:c16="http://schemas.microsoft.com/office/drawing/2014/chart" uri="{C3380CC4-5D6E-409C-BE32-E72D297353CC}">
              <c16:uniqueId val="{00000000-9A89-4FAE-BF80-62AB8F6F54DF}"/>
            </c:ext>
          </c:extLst>
        </c:ser>
        <c:dLbls>
          <c:showLegendKey val="0"/>
          <c:showVal val="0"/>
          <c:showCatName val="0"/>
          <c:showSerName val="0"/>
          <c:showPercent val="0"/>
          <c:showBubbleSize val="0"/>
        </c:dLbls>
        <c:gapWidth val="79"/>
        <c:overlap val="100"/>
        <c:axId val="1260093855"/>
        <c:axId val="1260092415"/>
      </c:barChart>
      <c:catAx>
        <c:axId val="1260093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60092415"/>
        <c:crosses val="autoZero"/>
        <c:auto val="1"/>
        <c:lblAlgn val="ctr"/>
        <c:lblOffset val="100"/>
        <c:noMultiLvlLbl val="0"/>
      </c:catAx>
      <c:valAx>
        <c:axId val="1260092415"/>
        <c:scaling>
          <c:orientation val="minMax"/>
        </c:scaling>
        <c:delete val="1"/>
        <c:axPos val="l"/>
        <c:numFmt formatCode="#,##0,&quot;K&quot;" sourceLinked="1"/>
        <c:majorTickMark val="none"/>
        <c:minorTickMark val="none"/>
        <c:tickLblPos val="nextTo"/>
        <c:crossAx val="126009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DASHBOARD.xlsx]11 profit margin!PivotTable4</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PROFIT</a:t>
            </a:r>
            <a:r>
              <a:rPr lang="en-US" baseline="0"/>
              <a:t> MARGIN</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'11 profit margin'!$A$3</c:f>
              <c:strCache>
                <c:ptCount val="1"/>
                <c:pt idx="0">
                  <c:v>Total</c:v>
                </c:pt>
              </c:strCache>
            </c:strRef>
          </c:tx>
          <c:spPr>
            <a:pattFill prst="ltUpDiag">
              <a:fgClr>
                <a:schemeClr val="accent1"/>
              </a:fgClr>
              <a:bgClr>
                <a:schemeClr val="lt1"/>
              </a:bgClr>
            </a:pattFill>
            <a:ln>
              <a:noFill/>
            </a:ln>
            <a:effectLst/>
          </c:spPr>
          <c:invertIfNegative val="0"/>
          <c:cat>
            <c:strRef>
              <c:f>'11 profit margin'!$A$4</c:f>
              <c:strCache>
                <c:ptCount val="1"/>
                <c:pt idx="0">
                  <c:v>Total</c:v>
                </c:pt>
              </c:strCache>
            </c:strRef>
          </c:cat>
          <c:val>
            <c:numRef>
              <c:f>'11 profit margin'!$A$4</c:f>
              <c:numCache>
                <c:formatCode>General</c:formatCode>
                <c:ptCount val="1"/>
                <c:pt idx="0">
                  <c:v>2837.940879148262</c:v>
                </c:pt>
              </c:numCache>
            </c:numRef>
          </c:val>
          <c:extLst>
            <c:ext xmlns:c16="http://schemas.microsoft.com/office/drawing/2014/chart" uri="{C3380CC4-5D6E-409C-BE32-E72D297353CC}">
              <c16:uniqueId val="{00000000-D8BC-4BC6-9314-AB2ADE37B998}"/>
            </c:ext>
          </c:extLst>
        </c:ser>
        <c:dLbls>
          <c:showLegendKey val="0"/>
          <c:showVal val="0"/>
          <c:showCatName val="0"/>
          <c:showSerName val="0"/>
          <c:showPercent val="0"/>
          <c:showBubbleSize val="0"/>
        </c:dLbls>
        <c:gapWidth val="269"/>
        <c:overlap val="-20"/>
        <c:axId val="463552544"/>
        <c:axId val="463549184"/>
      </c:barChart>
      <c:catAx>
        <c:axId val="463552544"/>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63549184"/>
        <c:crosses val="autoZero"/>
        <c:auto val="1"/>
        <c:lblAlgn val="ctr"/>
        <c:lblOffset val="100"/>
        <c:noMultiLvlLbl val="0"/>
      </c:catAx>
      <c:valAx>
        <c:axId val="46354918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6355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DASHBOARD.xlsx]11uniique order region!PivotTable5</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'11uniique order region'!$B$3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D64-45AF-82A3-21A70FCED73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D64-45AF-82A3-21A70FCED73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D64-45AF-82A3-21A70FCED73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D64-45AF-82A3-21A70FCED73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D64-45AF-82A3-21A70FCED736}"/>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'11uniique order region'!$A$4:$A$9</c:f>
              <c:strCache>
                <c:ptCount val="5"/>
                <c:pt idx="0">
                  <c:v>East</c:v>
                </c:pt>
                <c:pt idx="1">
                  <c:v>Midwest</c:v>
                </c:pt>
                <c:pt idx="2">
                  <c:v>South</c:v>
                </c:pt>
                <c:pt idx="3">
                  <c:v>Southwest</c:v>
                </c:pt>
                <c:pt idx="4">
                  <c:v>West</c:v>
                </c:pt>
              </c:strCache>
            </c:strRef>
          </c:cat>
          <c:val>
            <c:numRef>
              <c:f>'11uniique order region'!$B$4:$B$9</c:f>
              <c:numCache>
                <c:formatCode>General</c:formatCode>
                <c:ptCount val="5"/>
                <c:pt idx="0">
                  <c:v>3</c:v>
                </c:pt>
                <c:pt idx="1">
                  <c:v>3</c:v>
                </c:pt>
                <c:pt idx="2">
                  <c:v>2</c:v>
                </c:pt>
                <c:pt idx="3">
                  <c:v>2</c:v>
                </c:pt>
                <c:pt idx="4">
                  <c:v>4</c:v>
                </c:pt>
              </c:numCache>
            </c:numRef>
          </c:val>
          <c:extLst>
            <c:ext xmlns:c16="http://schemas.microsoft.com/office/drawing/2014/chart" uri="{C3380CC4-5D6E-409C-BE32-E72D297353CC}">
              <c16:uniqueId val="{0000000A-AD64-45AF-82A3-21A70FCED736}"/>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DASHBOARD.xlsx]TOTAL SALES (ytd)mtd,qtd!PivotTable1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TOTAL,</a:t>
            </a:r>
            <a:r>
              <a:rPr lang="en-IN" b="1" baseline="0">
                <a:solidFill>
                  <a:srgbClr val="FF0000"/>
                </a:solidFill>
              </a:rPr>
              <a:t> SALES (YTD,MTD,QTD)</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(ytd)mtd,qtd'!$B$3</c:f>
              <c:strCache>
                <c:ptCount val="1"/>
                <c:pt idx="0">
                  <c:v>Total</c:v>
                </c:pt>
              </c:strCache>
            </c:strRef>
          </c:tx>
          <c:spPr>
            <a:solidFill>
              <a:schemeClr val="accent1"/>
            </a:solidFill>
            <a:ln>
              <a:noFill/>
            </a:ln>
            <a:effectLst/>
          </c:spPr>
          <c:invertIfNegative val="0"/>
          <c:cat>
            <c:multiLvlStrRef>
              <c:f>'TOTAL SALES (ytd)mtd,qtd'!$A$4:$A$17</c:f>
              <c:multiLvlStrCache>
                <c:ptCount val="7"/>
                <c:lvl>
                  <c:pt idx="0">
                    <c:v>Oct</c:v>
                  </c:pt>
                  <c:pt idx="1">
                    <c:v>Nov</c:v>
                  </c:pt>
                  <c:pt idx="2">
                    <c:v>Oct</c:v>
                  </c:pt>
                  <c:pt idx="3">
                    <c:v>Nov</c:v>
                  </c:pt>
                  <c:pt idx="4">
                    <c:v>Oct</c:v>
                  </c:pt>
                  <c:pt idx="5">
                    <c:v>Nov</c:v>
                  </c:pt>
                </c:lvl>
                <c:lvl>
                  <c:pt idx="0">
                    <c:v>Qtr4</c:v>
                  </c:pt>
                  <c:pt idx="2">
                    <c:v>Qtr4</c:v>
                  </c:pt>
                  <c:pt idx="4">
                    <c:v>Qtr4</c:v>
                  </c:pt>
                </c:lvl>
                <c:lvl>
                  <c:pt idx="0">
                    <c:v>2019</c:v>
                  </c:pt>
                  <c:pt idx="2">
                    <c:v>2020</c:v>
                  </c:pt>
                  <c:pt idx="4">
                    <c:v>2021</c:v>
                  </c:pt>
                  <c:pt idx="6">
                    <c:v>2022</c:v>
                  </c:pt>
                </c:lvl>
              </c:multiLvlStrCache>
            </c:multiLvlStrRef>
          </c:cat>
          <c:val>
            <c:numRef>
              <c:f>'TOTAL SALES (ytd)mtd,qtd'!$B$4:$B$17</c:f>
              <c:numCache>
                <c:formatCode>General</c:formatCode>
                <c:ptCount val="7"/>
                <c:pt idx="0">
                  <c:v>114</c:v>
                </c:pt>
                <c:pt idx="1">
                  <c:v>586</c:v>
                </c:pt>
                <c:pt idx="2">
                  <c:v>109.5</c:v>
                </c:pt>
                <c:pt idx="3">
                  <c:v>240</c:v>
                </c:pt>
                <c:pt idx="4">
                  <c:v>303</c:v>
                </c:pt>
                <c:pt idx="5">
                  <c:v>1193.5</c:v>
                </c:pt>
                <c:pt idx="6">
                  <c:v>#N/A</c:v>
                </c:pt>
              </c:numCache>
            </c:numRef>
          </c:val>
          <c:extLst>
            <c:ext xmlns:c16="http://schemas.microsoft.com/office/drawing/2014/chart" uri="{C3380CC4-5D6E-409C-BE32-E72D297353CC}">
              <c16:uniqueId val="{00000000-D35B-4D2A-9C3D-BF3D46B86C56}"/>
            </c:ext>
          </c:extLst>
        </c:ser>
        <c:dLbls>
          <c:showLegendKey val="0"/>
          <c:showVal val="0"/>
          <c:showCatName val="0"/>
          <c:showSerName val="0"/>
          <c:showPercent val="0"/>
          <c:showBubbleSize val="0"/>
        </c:dLbls>
        <c:gapWidth val="219"/>
        <c:overlap val="-27"/>
        <c:axId val="2061541264"/>
        <c:axId val="2061541744"/>
      </c:barChart>
      <c:catAx>
        <c:axId val="206154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541744"/>
        <c:crosses val="autoZero"/>
        <c:auto val="1"/>
        <c:lblAlgn val="ctr"/>
        <c:lblOffset val="100"/>
        <c:noMultiLvlLbl val="0"/>
      </c:catAx>
      <c:valAx>
        <c:axId val="206154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54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FINAL DASHBOARD'!A1"/><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hyperlink" Target="#'FINAL DASHBOARD'!A1"/></Relationships>
</file>

<file path=xl/drawings/_rels/drawing3.xml.rels><?xml version="1.0" encoding="UTF-8" standalone="yes"?>
<Relationships xmlns="http://schemas.openxmlformats.org/package/2006/relationships"><Relationship Id="rId2" Type="http://schemas.openxmlformats.org/officeDocument/2006/relationships/hyperlink" Target="#'FINAL DASHBOARD'!A1"/><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hyperlink" Target="#'FINAL DASHBOARD'!A1"/><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hyperlink" Target="#'FINAL DASHBOARD'!A1"/></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hyperlink" Target="#'FINAL DASHBOARD'!A1"/></Relationships>
</file>

<file path=xl/drawings/_rels/drawing7.xml.rels><?xml version="1.0" encoding="UTF-8" standalone="yes"?>
<Relationships xmlns="http://schemas.openxmlformats.org/package/2006/relationships"><Relationship Id="rId2" Type="http://schemas.openxmlformats.org/officeDocument/2006/relationships/hyperlink" Target="#'FINAL DASHBOARD'!A1"/><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2" Type="http://schemas.openxmlformats.org/officeDocument/2006/relationships/hyperlink" Target="#'FINAL DASHBOARD'!A1"/><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2" Type="http://schemas.openxmlformats.org/officeDocument/2006/relationships/hyperlink" Target="#'FINAL DASHBOARD'!A1"/><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2" Type="http://schemas.openxmlformats.org/officeDocument/2006/relationships/hyperlink" Target="#'FINAL DASHBOARD'!A1"/><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hyperlink" Target="#'FINAL DASHBOARD'!A1"/></Relationships>
</file>

<file path=xl/drawings/_rels/drawing12.xml.rels><?xml version="1.0" encoding="UTF-8" standalone="yes"?>
<Relationships xmlns="http://schemas.openxmlformats.org/package/2006/relationships"><Relationship Id="rId2" Type="http://schemas.openxmlformats.org/officeDocument/2006/relationships/hyperlink" Target="#'FINAL DASHBOARD'!A1"/><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2" Type="http://schemas.openxmlformats.org/officeDocument/2006/relationships/hyperlink" Target="#'FINAL DASHBOARD'!A1"/><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2" Type="http://schemas.openxmlformats.org/officeDocument/2006/relationships/hyperlink" Target="#'FINAL DASHBOARD'!A1"/><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8" Type="http://schemas.openxmlformats.org/officeDocument/2006/relationships/hyperlink" Target="#'3sales growth'!A1"/><Relationship Id="rId13" Type="http://schemas.openxmlformats.org/officeDocument/2006/relationships/hyperlink" Target="#'Out of Stock 8'!A1"/><Relationship Id="rId18" Type="http://schemas.openxmlformats.org/officeDocument/2006/relationships/hyperlink" Target="#'TOTAL SALES (ytd)mtd,qtd'!A1"/><Relationship Id="rId26" Type="http://schemas.openxmlformats.org/officeDocument/2006/relationships/hyperlink" Target="#'11 profit margin'!A1"/><Relationship Id="rId3" Type="http://schemas.openxmlformats.org/officeDocument/2006/relationships/chart" Target="../charts/chart17.xml"/><Relationship Id="rId21" Type="http://schemas.openxmlformats.org/officeDocument/2006/relationships/chart" Target="../charts/chart23.xml"/><Relationship Id="rId7" Type="http://schemas.openxmlformats.org/officeDocument/2006/relationships/hyperlink" Target="#'2store wise sales'!A1"/><Relationship Id="rId12" Type="http://schemas.openxmlformats.org/officeDocument/2006/relationships/hyperlink" Target="#'7product in inventory'!A1"/><Relationship Id="rId17" Type="http://schemas.openxmlformats.org/officeDocument/2006/relationships/hyperlink" Target="#'12 total profit by region'!A1"/><Relationship Id="rId25" Type="http://schemas.openxmlformats.org/officeDocument/2006/relationships/chart" Target="../charts/chart27.xml"/><Relationship Id="rId2" Type="http://schemas.openxmlformats.org/officeDocument/2006/relationships/chart" Target="../charts/chart16.xml"/><Relationship Id="rId16" Type="http://schemas.openxmlformats.org/officeDocument/2006/relationships/hyperlink" Target="#'11 total profit'!A1"/><Relationship Id="rId20" Type="http://schemas.openxmlformats.org/officeDocument/2006/relationships/chart" Target="../charts/chart22.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hyperlink" Target="#'6gross profit'!A1"/><Relationship Id="rId24" Type="http://schemas.openxmlformats.org/officeDocument/2006/relationships/chart" Target="../charts/chart26.xml"/><Relationship Id="rId5" Type="http://schemas.openxmlformats.org/officeDocument/2006/relationships/chart" Target="../charts/chart19.xml"/><Relationship Id="rId15" Type="http://schemas.openxmlformats.org/officeDocument/2006/relationships/hyperlink" Target="#'10region wise sales'!A1"/><Relationship Id="rId23" Type="http://schemas.openxmlformats.org/officeDocument/2006/relationships/chart" Target="../charts/chart25.xml"/><Relationship Id="rId28" Type="http://schemas.openxmlformats.org/officeDocument/2006/relationships/chart" Target="../charts/chart28.xml"/><Relationship Id="rId10" Type="http://schemas.openxmlformats.org/officeDocument/2006/relationships/hyperlink" Target="#'5brand wise sales'!A1"/><Relationship Id="rId19" Type="http://schemas.openxmlformats.org/officeDocument/2006/relationships/chart" Target="../charts/chart21.xml"/><Relationship Id="rId4" Type="http://schemas.openxmlformats.org/officeDocument/2006/relationships/chart" Target="../charts/chart18.xml"/><Relationship Id="rId9" Type="http://schemas.openxmlformats.org/officeDocument/2006/relationships/hyperlink" Target="#'4daily sales trend'!A1"/><Relationship Id="rId14" Type="http://schemas.openxmlformats.org/officeDocument/2006/relationships/hyperlink" Target="#'9inventory value'!A1"/><Relationship Id="rId22" Type="http://schemas.openxmlformats.org/officeDocument/2006/relationships/chart" Target="../charts/chart24.xml"/><Relationship Id="rId27" Type="http://schemas.openxmlformats.org/officeDocument/2006/relationships/hyperlink" Target="#'11uniique order region'!A1"/></Relationships>
</file>

<file path=xl/drawings/drawing1.xml><?xml version="1.0" encoding="utf-8"?>
<xdr:wsDr xmlns:xdr="http://schemas.openxmlformats.org/drawingml/2006/spreadsheetDrawing" xmlns:a="http://schemas.openxmlformats.org/drawingml/2006/main">
  <xdr:twoCellAnchor>
    <xdr:from>
      <xdr:col>2</xdr:col>
      <xdr:colOff>266700</xdr:colOff>
      <xdr:row>1</xdr:row>
      <xdr:rowOff>120649</xdr:rowOff>
    </xdr:from>
    <xdr:to>
      <xdr:col>12</xdr:col>
      <xdr:colOff>469900</xdr:colOff>
      <xdr:row>15</xdr:row>
      <xdr:rowOff>161924</xdr:rowOff>
    </xdr:to>
    <xdr:graphicFrame macro="">
      <xdr:nvGraphicFramePr>
        <xdr:cNvPr id="2" name="Chart 1">
          <a:extLst>
            <a:ext uri="{FF2B5EF4-FFF2-40B4-BE49-F238E27FC236}">
              <a16:creationId xmlns:a16="http://schemas.microsoft.com/office/drawing/2014/main" id="{D794FCC1-E9FF-32BE-ACF5-4F52A5442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290593</xdr:colOff>
      <xdr:row>18</xdr:row>
      <xdr:rowOff>53813</xdr:rowOff>
    </xdr:from>
    <xdr:to>
      <xdr:col>12</xdr:col>
      <xdr:colOff>86102</xdr:colOff>
      <xdr:row>23</xdr:row>
      <xdr:rowOff>53814</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1FFB06E-D311-3811-9C8B-E44C3479D3B7}"/>
            </a:ext>
          </a:extLst>
        </xdr:cNvPr>
        <xdr:cNvSpPr/>
      </xdr:nvSpPr>
      <xdr:spPr>
        <a:xfrm>
          <a:off x="3702373" y="3347203"/>
          <a:ext cx="3250339" cy="91483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223906</xdr:colOff>
      <xdr:row>6</xdr:row>
      <xdr:rowOff>64604</xdr:rowOff>
    </xdr:from>
    <xdr:to>
      <xdr:col>17</xdr:col>
      <xdr:colOff>558247</xdr:colOff>
      <xdr:row>9</xdr:row>
      <xdr:rowOff>5797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721CCFF0-EB1D-3A33-1B0A-97E16B59A670}"/>
            </a:ext>
          </a:extLst>
        </xdr:cNvPr>
        <xdr:cNvSpPr/>
      </xdr:nvSpPr>
      <xdr:spPr>
        <a:xfrm>
          <a:off x="11294993" y="1141343"/>
          <a:ext cx="1549124" cy="479563"/>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475578</xdr:colOff>
      <xdr:row>2</xdr:row>
      <xdr:rowOff>170240</xdr:rowOff>
    </xdr:from>
    <xdr:to>
      <xdr:col>14</xdr:col>
      <xdr:colOff>289891</xdr:colOff>
      <xdr:row>36</xdr:row>
      <xdr:rowOff>82826</xdr:rowOff>
    </xdr:to>
    <xdr:graphicFrame macro="">
      <xdr:nvGraphicFramePr>
        <xdr:cNvPr id="5" name="Chart 4">
          <a:extLst>
            <a:ext uri="{FF2B5EF4-FFF2-40B4-BE49-F238E27FC236}">
              <a16:creationId xmlns:a16="http://schemas.microsoft.com/office/drawing/2014/main" id="{25693675-90F0-8A84-1D2D-CB82CBC68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288925</xdr:colOff>
      <xdr:row>1</xdr:row>
      <xdr:rowOff>152400</xdr:rowOff>
    </xdr:from>
    <xdr:to>
      <xdr:col>9</xdr:col>
      <xdr:colOff>593725</xdr:colOff>
      <xdr:row>16</xdr:row>
      <xdr:rowOff>133350</xdr:rowOff>
    </xdr:to>
    <xdr:graphicFrame macro="">
      <xdr:nvGraphicFramePr>
        <xdr:cNvPr id="2" name="Chart 1">
          <a:extLst>
            <a:ext uri="{FF2B5EF4-FFF2-40B4-BE49-F238E27FC236}">
              <a16:creationId xmlns:a16="http://schemas.microsoft.com/office/drawing/2014/main" id="{04D8FC0A-34D9-65DD-189C-CE510050A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369186</xdr:colOff>
      <xdr:row>19</xdr:row>
      <xdr:rowOff>73838</xdr:rowOff>
    </xdr:from>
    <xdr:to>
      <xdr:col>7</xdr:col>
      <xdr:colOff>191977</xdr:colOff>
      <xdr:row>22</xdr:row>
      <xdr:rowOff>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41A1D261-6FC7-204B-597D-3B85348F7647}"/>
            </a:ext>
          </a:extLst>
        </xdr:cNvPr>
        <xdr:cNvSpPr/>
      </xdr:nvSpPr>
      <xdr:spPr>
        <a:xfrm>
          <a:off x="3595872" y="3581105"/>
          <a:ext cx="2274186" cy="47994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478207</xdr:colOff>
      <xdr:row>3</xdr:row>
      <xdr:rowOff>105339</xdr:rowOff>
    </xdr:from>
    <xdr:to>
      <xdr:col>10</xdr:col>
      <xdr:colOff>173407</xdr:colOff>
      <xdr:row>18</xdr:row>
      <xdr:rowOff>86290</xdr:rowOff>
    </xdr:to>
    <xdr:graphicFrame macro="">
      <xdr:nvGraphicFramePr>
        <xdr:cNvPr id="3" name="Chart 2">
          <a:extLst>
            <a:ext uri="{FF2B5EF4-FFF2-40B4-BE49-F238E27FC236}">
              <a16:creationId xmlns:a16="http://schemas.microsoft.com/office/drawing/2014/main" id="{0A023FF1-0C5A-020B-7D03-FC2E9DAB5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34636</xdr:colOff>
      <xdr:row>19</xdr:row>
      <xdr:rowOff>46182</xdr:rowOff>
    </xdr:from>
    <xdr:to>
      <xdr:col>8</xdr:col>
      <xdr:colOff>184727</xdr:colOff>
      <xdr:row>24</xdr:row>
      <xdr:rowOff>46181</xdr:rowOff>
    </xdr:to>
    <xdr:sp macro="" textlink="">
      <xdr:nvSpPr>
        <xdr:cNvPr id="2" name="Arrow: Right 1">
          <a:hlinkClick xmlns:r="http://schemas.openxmlformats.org/officeDocument/2006/relationships" r:id="rId2"/>
          <a:extLst>
            <a:ext uri="{FF2B5EF4-FFF2-40B4-BE49-F238E27FC236}">
              <a16:creationId xmlns:a16="http://schemas.microsoft.com/office/drawing/2014/main" id="{A3E29548-ACE3-1095-1949-697A48327D5A}"/>
            </a:ext>
          </a:extLst>
        </xdr:cNvPr>
        <xdr:cNvSpPr/>
      </xdr:nvSpPr>
      <xdr:spPr>
        <a:xfrm>
          <a:off x="3452091" y="3556000"/>
          <a:ext cx="3209636" cy="923636"/>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344407</xdr:colOff>
      <xdr:row>20</xdr:row>
      <xdr:rowOff>43051</xdr:rowOff>
    </xdr:from>
    <xdr:to>
      <xdr:col>8</xdr:col>
      <xdr:colOff>398221</xdr:colOff>
      <xdr:row>23</xdr:row>
      <xdr:rowOff>172203</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C3BEB387-879E-C174-FAB1-1A8A8496EBCF}"/>
            </a:ext>
          </a:extLst>
        </xdr:cNvPr>
        <xdr:cNvSpPr/>
      </xdr:nvSpPr>
      <xdr:spPr>
        <a:xfrm>
          <a:off x="3885339" y="3702373"/>
          <a:ext cx="3121187" cy="6780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114085</xdr:colOff>
      <xdr:row>1</xdr:row>
      <xdr:rowOff>145942</xdr:rowOff>
    </xdr:from>
    <xdr:to>
      <xdr:col>10</xdr:col>
      <xdr:colOff>391763</xdr:colOff>
      <xdr:row>16</xdr:row>
      <xdr:rowOff>144650</xdr:rowOff>
    </xdr:to>
    <xdr:graphicFrame macro="">
      <xdr:nvGraphicFramePr>
        <xdr:cNvPr id="4" name="Chart 3">
          <a:extLst>
            <a:ext uri="{FF2B5EF4-FFF2-40B4-BE49-F238E27FC236}">
              <a16:creationId xmlns:a16="http://schemas.microsoft.com/office/drawing/2014/main" id="{F7BFDB43-F323-261E-CD58-99500FAAF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376696</xdr:colOff>
      <xdr:row>28</xdr:row>
      <xdr:rowOff>53813</xdr:rowOff>
    </xdr:from>
    <xdr:to>
      <xdr:col>9</xdr:col>
      <xdr:colOff>10763</xdr:colOff>
      <xdr:row>32</xdr:row>
      <xdr:rowOff>172203</xdr:rowOff>
    </xdr:to>
    <xdr:sp macro="" textlink="">
      <xdr:nvSpPr>
        <xdr:cNvPr id="2" name="Arrow: Right 1">
          <a:hlinkClick xmlns:r="http://schemas.openxmlformats.org/officeDocument/2006/relationships" r:id="rId1"/>
          <a:extLst>
            <a:ext uri="{FF2B5EF4-FFF2-40B4-BE49-F238E27FC236}">
              <a16:creationId xmlns:a16="http://schemas.microsoft.com/office/drawing/2014/main" id="{B5601060-4C6D-D50D-E1E5-DCE2F52A9C87}"/>
            </a:ext>
          </a:extLst>
        </xdr:cNvPr>
        <xdr:cNvSpPr/>
      </xdr:nvSpPr>
      <xdr:spPr>
        <a:xfrm>
          <a:off x="9406611" y="5176864"/>
          <a:ext cx="3314915" cy="85025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279830</xdr:colOff>
      <xdr:row>1</xdr:row>
      <xdr:rowOff>86101</xdr:rowOff>
    </xdr:from>
    <xdr:to>
      <xdr:col>12</xdr:col>
      <xdr:colOff>376695</xdr:colOff>
      <xdr:row>25</xdr:row>
      <xdr:rowOff>32287</xdr:rowOff>
    </xdr:to>
    <xdr:graphicFrame macro="">
      <xdr:nvGraphicFramePr>
        <xdr:cNvPr id="3" name="Chart 2">
          <a:extLst>
            <a:ext uri="{FF2B5EF4-FFF2-40B4-BE49-F238E27FC236}">
              <a16:creationId xmlns:a16="http://schemas.microsoft.com/office/drawing/2014/main" id="{2D12C1D7-23AB-3AE5-98C7-7B13F21E19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282864</xdr:colOff>
      <xdr:row>3</xdr:row>
      <xdr:rowOff>114878</xdr:rowOff>
    </xdr:from>
    <xdr:to>
      <xdr:col>10</xdr:col>
      <xdr:colOff>5773</xdr:colOff>
      <xdr:row>18</xdr:row>
      <xdr:rowOff>116032</xdr:rowOff>
    </xdr:to>
    <xdr:graphicFrame macro="">
      <xdr:nvGraphicFramePr>
        <xdr:cNvPr id="2" name="Chart 1">
          <a:extLst>
            <a:ext uri="{FF2B5EF4-FFF2-40B4-BE49-F238E27FC236}">
              <a16:creationId xmlns:a16="http://schemas.microsoft.com/office/drawing/2014/main" id="{8FD2D085-1D6C-AE04-B9EB-136039B21A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288637</xdr:colOff>
      <xdr:row>20</xdr:row>
      <xdr:rowOff>19242</xdr:rowOff>
    </xdr:from>
    <xdr:to>
      <xdr:col>7</xdr:col>
      <xdr:colOff>577272</xdr:colOff>
      <xdr:row>23</xdr:row>
      <xdr:rowOff>115454</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DD30C2F-11E3-3D9E-BA13-44B7D106FEEF}"/>
            </a:ext>
          </a:extLst>
        </xdr:cNvPr>
        <xdr:cNvSpPr/>
      </xdr:nvSpPr>
      <xdr:spPr>
        <a:xfrm>
          <a:off x="8736061" y="3675303"/>
          <a:ext cx="2713181" cy="64462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423612</xdr:colOff>
      <xdr:row>0</xdr:row>
      <xdr:rowOff>172118</xdr:rowOff>
    </xdr:from>
    <xdr:to>
      <xdr:col>6</xdr:col>
      <xdr:colOff>429628</xdr:colOff>
      <xdr:row>11</xdr:row>
      <xdr:rowOff>159418</xdr:rowOff>
    </xdr:to>
    <xdr:graphicFrame macro="">
      <xdr:nvGraphicFramePr>
        <xdr:cNvPr id="2" name="Chart 1">
          <a:extLst>
            <a:ext uri="{FF2B5EF4-FFF2-40B4-BE49-F238E27FC236}">
              <a16:creationId xmlns:a16="http://schemas.microsoft.com/office/drawing/2014/main" id="{1F667782-C840-8C3A-2CE8-5DD0A0A0A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215900</xdr:colOff>
      <xdr:row>4</xdr:row>
      <xdr:rowOff>57150</xdr:rowOff>
    </xdr:from>
    <xdr:to>
      <xdr:col>9</xdr:col>
      <xdr:colOff>469900</xdr:colOff>
      <xdr:row>10</xdr:row>
      <xdr:rowOff>57150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CF4F24DA-E868-B345-1C1A-D381D0707F9D}"/>
            </a:ext>
          </a:extLst>
        </xdr:cNvPr>
        <xdr:cNvSpPr/>
      </xdr:nvSpPr>
      <xdr:spPr>
        <a:xfrm>
          <a:off x="7156450" y="793750"/>
          <a:ext cx="2082800" cy="11049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447675</xdr:colOff>
      <xdr:row>0</xdr:row>
      <xdr:rowOff>38100</xdr:rowOff>
    </xdr:from>
    <xdr:to>
      <xdr:col>8</xdr:col>
      <xdr:colOff>82550</xdr:colOff>
      <xdr:row>12</xdr:row>
      <xdr:rowOff>107950</xdr:rowOff>
    </xdr:to>
    <xdr:graphicFrame macro="">
      <xdr:nvGraphicFramePr>
        <xdr:cNvPr id="3" name="Chart 2">
          <a:extLst>
            <a:ext uri="{FF2B5EF4-FFF2-40B4-BE49-F238E27FC236}">
              <a16:creationId xmlns:a16="http://schemas.microsoft.com/office/drawing/2014/main" id="{D11F6DFE-6A30-567F-799A-6C396B3FA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285750</xdr:colOff>
      <xdr:row>15</xdr:row>
      <xdr:rowOff>50800</xdr:rowOff>
    </xdr:from>
    <xdr:to>
      <xdr:col>2</xdr:col>
      <xdr:colOff>438150</xdr:colOff>
      <xdr:row>19</xdr:row>
      <xdr:rowOff>0</xdr:rowOff>
    </xdr:to>
    <xdr:sp macro="" textlink="">
      <xdr:nvSpPr>
        <xdr:cNvPr id="4" name="Arrow: Right 3">
          <a:hlinkClick xmlns:r="http://schemas.openxmlformats.org/officeDocument/2006/relationships" r:id="rId2"/>
          <a:extLst>
            <a:ext uri="{FF2B5EF4-FFF2-40B4-BE49-F238E27FC236}">
              <a16:creationId xmlns:a16="http://schemas.microsoft.com/office/drawing/2014/main" id="{BE4043B2-5063-B70F-CD32-0512D53C9AFA}"/>
            </a:ext>
          </a:extLst>
        </xdr:cNvPr>
        <xdr:cNvSpPr/>
      </xdr:nvSpPr>
      <xdr:spPr>
        <a:xfrm>
          <a:off x="285750" y="2813050"/>
          <a:ext cx="2038350" cy="6858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381000</xdr:colOff>
      <xdr:row>1</xdr:row>
      <xdr:rowOff>44450</xdr:rowOff>
    </xdr:from>
    <xdr:to>
      <xdr:col>8</xdr:col>
      <xdr:colOff>514350</xdr:colOff>
      <xdr:row>13</xdr:row>
      <xdr:rowOff>127000</xdr:rowOff>
    </xdr:to>
    <xdr:graphicFrame macro="">
      <xdr:nvGraphicFramePr>
        <xdr:cNvPr id="2" name="Chart 1">
          <a:extLst>
            <a:ext uri="{FF2B5EF4-FFF2-40B4-BE49-F238E27FC236}">
              <a16:creationId xmlns:a16="http://schemas.microsoft.com/office/drawing/2014/main" id="{E8FFA0DF-3904-BFB5-FACD-0BB926F9F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107950</xdr:colOff>
      <xdr:row>11</xdr:row>
      <xdr:rowOff>0</xdr:rowOff>
    </xdr:from>
    <xdr:to>
      <xdr:col>2</xdr:col>
      <xdr:colOff>247650</xdr:colOff>
      <xdr:row>17</xdr:row>
      <xdr:rowOff>158750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B8A3CB1F-7A29-52D2-0382-DFA3A03F64F3}"/>
            </a:ext>
          </a:extLst>
        </xdr:cNvPr>
        <xdr:cNvSpPr/>
      </xdr:nvSpPr>
      <xdr:spPr>
        <a:xfrm>
          <a:off x="107950" y="2025650"/>
          <a:ext cx="2463800" cy="12636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13</xdr:col>
      <xdr:colOff>326571</xdr:colOff>
      <xdr:row>6</xdr:row>
      <xdr:rowOff>72572</xdr:rowOff>
    </xdr:from>
    <xdr:to>
      <xdr:col>16</xdr:col>
      <xdr:colOff>226785</xdr:colOff>
      <xdr:row>12</xdr:row>
      <xdr:rowOff>90714</xdr:rowOff>
    </xdr:to>
    <xdr:sp macro="" textlink="">
      <xdr:nvSpPr>
        <xdr:cNvPr id="2" name="Arrow: Right 1">
          <a:hlinkClick xmlns:r="http://schemas.openxmlformats.org/officeDocument/2006/relationships" r:id="rId1"/>
          <a:extLst>
            <a:ext uri="{FF2B5EF4-FFF2-40B4-BE49-F238E27FC236}">
              <a16:creationId xmlns:a16="http://schemas.microsoft.com/office/drawing/2014/main" id="{A8D4FEF9-36BF-13EB-E827-5EF82AB02690}"/>
            </a:ext>
          </a:extLst>
        </xdr:cNvPr>
        <xdr:cNvSpPr/>
      </xdr:nvSpPr>
      <xdr:spPr>
        <a:xfrm>
          <a:off x="15684500" y="1161143"/>
          <a:ext cx="1723571" cy="110671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298864</xdr:colOff>
      <xdr:row>1</xdr:row>
      <xdr:rowOff>115818</xdr:rowOff>
    </xdr:from>
    <xdr:to>
      <xdr:col>10</xdr:col>
      <xdr:colOff>11733</xdr:colOff>
      <xdr:row>16</xdr:row>
      <xdr:rowOff>63638</xdr:rowOff>
    </xdr:to>
    <xdr:graphicFrame macro="">
      <xdr:nvGraphicFramePr>
        <xdr:cNvPr id="3" name="Chart 2">
          <a:extLst>
            <a:ext uri="{FF2B5EF4-FFF2-40B4-BE49-F238E27FC236}">
              <a16:creationId xmlns:a16="http://schemas.microsoft.com/office/drawing/2014/main" id="{98C97114-03A8-A4CC-4C60-93008B8635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438727</xdr:colOff>
      <xdr:row>4</xdr:row>
      <xdr:rowOff>123537</xdr:rowOff>
    </xdr:from>
    <xdr:to>
      <xdr:col>15</xdr:col>
      <xdr:colOff>127000</xdr:colOff>
      <xdr:row>26</xdr:row>
      <xdr:rowOff>103909</xdr:rowOff>
    </xdr:to>
    <xdr:graphicFrame macro="">
      <xdr:nvGraphicFramePr>
        <xdr:cNvPr id="2" name="Chart 1">
          <a:extLst>
            <a:ext uri="{FF2B5EF4-FFF2-40B4-BE49-F238E27FC236}">
              <a16:creationId xmlns:a16="http://schemas.microsoft.com/office/drawing/2014/main" id="{5456AC8E-2248-9B6E-1B46-86D2643D5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574524</xdr:colOff>
      <xdr:row>31</xdr:row>
      <xdr:rowOff>75595</xdr:rowOff>
    </xdr:from>
    <xdr:to>
      <xdr:col>13</xdr:col>
      <xdr:colOff>559405</xdr:colOff>
      <xdr:row>38</xdr:row>
      <xdr:rowOff>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B385782F-30ED-E823-A04C-ED16C160FD5A}"/>
            </a:ext>
          </a:extLst>
        </xdr:cNvPr>
        <xdr:cNvSpPr/>
      </xdr:nvSpPr>
      <xdr:spPr>
        <a:xfrm>
          <a:off x="10432143" y="5699881"/>
          <a:ext cx="4822976" cy="119440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566539</xdr:colOff>
      <xdr:row>2</xdr:row>
      <xdr:rowOff>146448</xdr:rowOff>
    </xdr:from>
    <xdr:to>
      <xdr:col>12</xdr:col>
      <xdr:colOff>257969</xdr:colOff>
      <xdr:row>34</xdr:row>
      <xdr:rowOff>59532</xdr:rowOff>
    </xdr:to>
    <xdr:graphicFrame macro="">
      <xdr:nvGraphicFramePr>
        <xdr:cNvPr id="4" name="Chart 3">
          <a:extLst>
            <a:ext uri="{FF2B5EF4-FFF2-40B4-BE49-F238E27FC236}">
              <a16:creationId xmlns:a16="http://schemas.microsoft.com/office/drawing/2014/main" id="{FB481983-E5F6-9030-0758-4388570E1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476250</xdr:colOff>
      <xdr:row>34</xdr:row>
      <xdr:rowOff>173181</xdr:rowOff>
    </xdr:from>
    <xdr:to>
      <xdr:col>10</xdr:col>
      <xdr:colOff>230909</xdr:colOff>
      <xdr:row>39</xdr:row>
      <xdr:rowOff>158750</xdr:rowOff>
    </xdr:to>
    <xdr:sp macro="" textlink="">
      <xdr:nvSpPr>
        <xdr:cNvPr id="2" name="Arrow: Right 1">
          <a:hlinkClick xmlns:r="http://schemas.openxmlformats.org/officeDocument/2006/relationships" r:id="rId2"/>
          <a:extLst>
            <a:ext uri="{FF2B5EF4-FFF2-40B4-BE49-F238E27FC236}">
              <a16:creationId xmlns:a16="http://schemas.microsoft.com/office/drawing/2014/main" id="{ADA3348B-EFD8-675F-CD2F-A0AF5E96E836}"/>
            </a:ext>
          </a:extLst>
        </xdr:cNvPr>
        <xdr:cNvSpPr/>
      </xdr:nvSpPr>
      <xdr:spPr>
        <a:xfrm>
          <a:off x="9842500" y="6552045"/>
          <a:ext cx="3391477" cy="92363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406400</xdr:colOff>
      <xdr:row>2</xdr:row>
      <xdr:rowOff>63500</xdr:rowOff>
    </xdr:from>
    <xdr:to>
      <xdr:col>10</xdr:col>
      <xdr:colOff>101600</xdr:colOff>
      <xdr:row>17</xdr:row>
      <xdr:rowOff>44450</xdr:rowOff>
    </xdr:to>
    <xdr:graphicFrame macro="">
      <xdr:nvGraphicFramePr>
        <xdr:cNvPr id="2" name="Chart 1">
          <a:extLst>
            <a:ext uri="{FF2B5EF4-FFF2-40B4-BE49-F238E27FC236}">
              <a16:creationId xmlns:a16="http://schemas.microsoft.com/office/drawing/2014/main" id="{DC53916E-C70E-7C59-6399-63D7AA61F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430508</xdr:colOff>
      <xdr:row>20</xdr:row>
      <xdr:rowOff>86102</xdr:rowOff>
    </xdr:from>
    <xdr:to>
      <xdr:col>9</xdr:col>
      <xdr:colOff>398221</xdr:colOff>
      <xdr:row>25</xdr:row>
      <xdr:rowOff>96864</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84044582-EBC9-E95C-00C8-CF4BAD40C926}"/>
            </a:ext>
          </a:extLst>
        </xdr:cNvPr>
        <xdr:cNvSpPr/>
      </xdr:nvSpPr>
      <xdr:spPr>
        <a:xfrm>
          <a:off x="4875508" y="3745424"/>
          <a:ext cx="2421611" cy="925593"/>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112350</xdr:rowOff>
    </xdr:from>
    <xdr:to>
      <xdr:col>37</xdr:col>
      <xdr:colOff>41413</xdr:colOff>
      <xdr:row>5</xdr:row>
      <xdr:rowOff>26171</xdr:rowOff>
    </xdr:to>
    <xdr:sp macro="" textlink="">
      <xdr:nvSpPr>
        <xdr:cNvPr id="2" name="Rectangle: Rounded Corners 1">
          <a:extLst>
            <a:ext uri="{FF2B5EF4-FFF2-40B4-BE49-F238E27FC236}">
              <a16:creationId xmlns:a16="http://schemas.microsoft.com/office/drawing/2014/main" id="{56696771-7606-6266-4195-D21B67316D58}"/>
            </a:ext>
          </a:extLst>
        </xdr:cNvPr>
        <xdr:cNvSpPr/>
      </xdr:nvSpPr>
      <xdr:spPr>
        <a:xfrm>
          <a:off x="0" y="112350"/>
          <a:ext cx="22417603" cy="820964"/>
        </a:xfrm>
        <a:prstGeom prst="roundRect">
          <a:avLst/>
        </a:prstGeom>
        <a:solidFill>
          <a:srgbClr val="92D050"/>
        </a:solidFill>
        <a:ln>
          <a:solidFill>
            <a:schemeClr val="accent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366752</xdr:colOff>
      <xdr:row>5</xdr:row>
      <xdr:rowOff>103533</xdr:rowOff>
    </xdr:from>
    <xdr:to>
      <xdr:col>5</xdr:col>
      <xdr:colOff>28301</xdr:colOff>
      <xdr:row>9</xdr:row>
      <xdr:rowOff>92266</xdr:rowOff>
    </xdr:to>
    <xdr:grpSp>
      <xdr:nvGrpSpPr>
        <xdr:cNvPr id="10" name="Group 9">
          <a:extLst>
            <a:ext uri="{FF2B5EF4-FFF2-40B4-BE49-F238E27FC236}">
              <a16:creationId xmlns:a16="http://schemas.microsoft.com/office/drawing/2014/main" id="{6C24A7F7-BFDB-9DBB-764B-2556EF5720DC}"/>
            </a:ext>
          </a:extLst>
        </xdr:cNvPr>
        <xdr:cNvGrpSpPr/>
      </xdr:nvGrpSpPr>
      <xdr:grpSpPr>
        <a:xfrm>
          <a:off x="977329" y="1080456"/>
          <a:ext cx="2103857" cy="770272"/>
          <a:chOff x="7839" y="1026183"/>
          <a:chExt cx="2092531" cy="726852"/>
        </a:xfrm>
      </xdr:grpSpPr>
      <xdr:sp macro="" textlink="">
        <xdr:nvSpPr>
          <xdr:cNvPr id="3" name="Rectangle: Rounded Corners 2">
            <a:extLst>
              <a:ext uri="{FF2B5EF4-FFF2-40B4-BE49-F238E27FC236}">
                <a16:creationId xmlns:a16="http://schemas.microsoft.com/office/drawing/2014/main" id="{E0867A53-A7D3-2E58-CA63-9C89988D7B48}"/>
              </a:ext>
            </a:extLst>
          </xdr:cNvPr>
          <xdr:cNvSpPr/>
        </xdr:nvSpPr>
        <xdr:spPr>
          <a:xfrm>
            <a:off x="7839" y="1026183"/>
            <a:ext cx="2092531" cy="726852"/>
          </a:xfrm>
          <a:prstGeom prst="roundRect">
            <a:avLst/>
          </a:prstGeom>
          <a:solidFill>
            <a:srgbClr val="92D050"/>
          </a:solidFill>
          <a:ln>
            <a:solidFill>
              <a:schemeClr val="accent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7B9F2E77-8E71-6395-0A4B-659B10718F97}"/>
              </a:ext>
            </a:extLst>
          </xdr:cNvPr>
          <xdr:cNvSpPr/>
        </xdr:nvSpPr>
        <xdr:spPr>
          <a:xfrm>
            <a:off x="22411" y="1042051"/>
            <a:ext cx="352076" cy="705556"/>
          </a:xfrm>
          <a:prstGeom prst="roundRect">
            <a:avLst/>
          </a:prstGeom>
          <a:solidFill>
            <a:schemeClr val="bg1"/>
          </a:solidFill>
          <a:ln>
            <a:solidFill>
              <a:schemeClr val="accent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TextBox 8">
            <a:extLst>
              <a:ext uri="{FF2B5EF4-FFF2-40B4-BE49-F238E27FC236}">
                <a16:creationId xmlns:a16="http://schemas.microsoft.com/office/drawing/2014/main" id="{FB8A6EB6-8C52-4848-3974-EC1469DB5C27}"/>
              </a:ext>
            </a:extLst>
          </xdr:cNvPr>
          <xdr:cNvSpPr txBox="1"/>
        </xdr:nvSpPr>
        <xdr:spPr>
          <a:xfrm>
            <a:off x="417906" y="1150599"/>
            <a:ext cx="1514231" cy="472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tx1"/>
                </a:solidFill>
              </a:rPr>
              <a:t>YTD</a:t>
            </a:r>
            <a:endParaRPr lang="en-IN" sz="2000" b="1">
              <a:solidFill>
                <a:schemeClr val="tx1"/>
              </a:solidFill>
            </a:endParaRPr>
          </a:p>
        </xdr:txBody>
      </xdr:sp>
    </xdr:grpSp>
    <xdr:clientData/>
  </xdr:twoCellAnchor>
  <xdr:twoCellAnchor>
    <xdr:from>
      <xdr:col>9</xdr:col>
      <xdr:colOff>359912</xdr:colOff>
      <xdr:row>5</xdr:row>
      <xdr:rowOff>96617</xdr:rowOff>
    </xdr:from>
    <xdr:to>
      <xdr:col>13</xdr:col>
      <xdr:colOff>27277</xdr:colOff>
      <xdr:row>9</xdr:row>
      <xdr:rowOff>85350</xdr:rowOff>
    </xdr:to>
    <xdr:grpSp>
      <xdr:nvGrpSpPr>
        <xdr:cNvPr id="11" name="Group 10">
          <a:extLst>
            <a:ext uri="{FF2B5EF4-FFF2-40B4-BE49-F238E27FC236}">
              <a16:creationId xmlns:a16="http://schemas.microsoft.com/office/drawing/2014/main" id="{691606FE-2CFC-07DE-2F20-8F1471295C20}"/>
            </a:ext>
          </a:extLst>
        </xdr:cNvPr>
        <xdr:cNvGrpSpPr/>
      </xdr:nvGrpSpPr>
      <xdr:grpSpPr>
        <a:xfrm>
          <a:off x="5855104" y="1073540"/>
          <a:ext cx="2109673" cy="770272"/>
          <a:chOff x="7839" y="1026183"/>
          <a:chExt cx="2092531" cy="726852"/>
        </a:xfrm>
      </xdr:grpSpPr>
      <xdr:sp macro="" textlink="">
        <xdr:nvSpPr>
          <xdr:cNvPr id="12" name="Rectangle: Rounded Corners 11">
            <a:extLst>
              <a:ext uri="{FF2B5EF4-FFF2-40B4-BE49-F238E27FC236}">
                <a16:creationId xmlns:a16="http://schemas.microsoft.com/office/drawing/2014/main" id="{CF52DF73-75B1-1B7A-5889-7AE7E04A9D78}"/>
              </a:ext>
            </a:extLst>
          </xdr:cNvPr>
          <xdr:cNvSpPr/>
        </xdr:nvSpPr>
        <xdr:spPr>
          <a:xfrm>
            <a:off x="7839" y="1026183"/>
            <a:ext cx="2092531" cy="726852"/>
          </a:xfrm>
          <a:prstGeom prst="roundRect">
            <a:avLst/>
          </a:prstGeom>
          <a:solidFill>
            <a:srgbClr val="92D050"/>
          </a:solidFill>
          <a:ln>
            <a:solidFill>
              <a:schemeClr val="accent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9328727E-40CA-833C-B991-922B3B26781E}"/>
              </a:ext>
            </a:extLst>
          </xdr:cNvPr>
          <xdr:cNvSpPr/>
        </xdr:nvSpPr>
        <xdr:spPr>
          <a:xfrm>
            <a:off x="22411" y="1042051"/>
            <a:ext cx="352076" cy="705556"/>
          </a:xfrm>
          <a:prstGeom prst="roundRect">
            <a:avLst/>
          </a:prstGeom>
          <a:solidFill>
            <a:schemeClr val="bg1"/>
          </a:solidFill>
          <a:ln>
            <a:solidFill>
              <a:schemeClr val="accent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a:extLst>
              <a:ext uri="{FF2B5EF4-FFF2-40B4-BE49-F238E27FC236}">
                <a16:creationId xmlns:a16="http://schemas.microsoft.com/office/drawing/2014/main" id="{99B8C98F-6656-94CE-11F1-EAE405E8D290}"/>
              </a:ext>
            </a:extLst>
          </xdr:cNvPr>
          <xdr:cNvSpPr txBox="1"/>
        </xdr:nvSpPr>
        <xdr:spPr>
          <a:xfrm>
            <a:off x="417906" y="1150599"/>
            <a:ext cx="1514231" cy="4130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tx1"/>
                </a:solidFill>
              </a:rPr>
              <a:t>MTD</a:t>
            </a:r>
          </a:p>
        </xdr:txBody>
      </xdr:sp>
    </xdr:grpSp>
    <xdr:clientData/>
  </xdr:twoCellAnchor>
  <xdr:twoCellAnchor>
    <xdr:from>
      <xdr:col>17</xdr:col>
      <xdr:colOff>151341</xdr:colOff>
      <xdr:row>5</xdr:row>
      <xdr:rowOff>166552</xdr:rowOff>
    </xdr:from>
    <xdr:to>
      <xdr:col>20</xdr:col>
      <xdr:colOff>415725</xdr:colOff>
      <xdr:row>9</xdr:row>
      <xdr:rowOff>155285</xdr:rowOff>
    </xdr:to>
    <xdr:grpSp>
      <xdr:nvGrpSpPr>
        <xdr:cNvPr id="15" name="Group 14">
          <a:extLst>
            <a:ext uri="{FF2B5EF4-FFF2-40B4-BE49-F238E27FC236}">
              <a16:creationId xmlns:a16="http://schemas.microsoft.com/office/drawing/2014/main" id="{3B7465B3-15FC-8EE2-4763-53BB4FEF5084}"/>
            </a:ext>
          </a:extLst>
        </xdr:cNvPr>
        <xdr:cNvGrpSpPr/>
      </xdr:nvGrpSpPr>
      <xdr:grpSpPr>
        <a:xfrm>
          <a:off x="10531149" y="1143475"/>
          <a:ext cx="2096114" cy="770272"/>
          <a:chOff x="7839" y="1026183"/>
          <a:chExt cx="2092531" cy="726852"/>
        </a:xfrm>
      </xdr:grpSpPr>
      <xdr:sp macro="" textlink="">
        <xdr:nvSpPr>
          <xdr:cNvPr id="16" name="Rectangle: Rounded Corners 15">
            <a:extLst>
              <a:ext uri="{FF2B5EF4-FFF2-40B4-BE49-F238E27FC236}">
                <a16:creationId xmlns:a16="http://schemas.microsoft.com/office/drawing/2014/main" id="{DD91EB58-4A91-CD23-FE66-4863ABAD8405}"/>
              </a:ext>
            </a:extLst>
          </xdr:cNvPr>
          <xdr:cNvSpPr/>
        </xdr:nvSpPr>
        <xdr:spPr>
          <a:xfrm>
            <a:off x="7839" y="1026183"/>
            <a:ext cx="2092531" cy="726852"/>
          </a:xfrm>
          <a:prstGeom prst="roundRect">
            <a:avLst/>
          </a:prstGeom>
          <a:solidFill>
            <a:srgbClr val="92D050"/>
          </a:solidFill>
          <a:ln>
            <a:solidFill>
              <a:schemeClr val="accent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BAB2049D-3F1D-C0CC-D9FD-2ECAD44244F3}"/>
              </a:ext>
            </a:extLst>
          </xdr:cNvPr>
          <xdr:cNvSpPr/>
        </xdr:nvSpPr>
        <xdr:spPr>
          <a:xfrm>
            <a:off x="22411" y="1042051"/>
            <a:ext cx="352076" cy="705556"/>
          </a:xfrm>
          <a:prstGeom prst="roundRect">
            <a:avLst/>
          </a:prstGeom>
          <a:solidFill>
            <a:schemeClr val="bg1"/>
          </a:solidFill>
          <a:ln>
            <a:solidFill>
              <a:schemeClr val="accent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694FC913-ECEE-19F7-3D86-E6951CB93B77}"/>
              </a:ext>
            </a:extLst>
          </xdr:cNvPr>
          <xdr:cNvSpPr txBox="1"/>
        </xdr:nvSpPr>
        <xdr:spPr>
          <a:xfrm>
            <a:off x="417906" y="1221614"/>
            <a:ext cx="1514231" cy="4011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rPr>
              <a:t>           </a:t>
            </a:r>
            <a:r>
              <a:rPr lang="en-IN" sz="2000" b="1">
                <a:solidFill>
                  <a:schemeClr val="tx1"/>
                </a:solidFill>
              </a:rPr>
              <a:t>QTD</a:t>
            </a:r>
            <a:endParaRPr lang="en-IN" sz="1400" b="1">
              <a:solidFill>
                <a:schemeClr val="tx1"/>
              </a:solidFill>
            </a:endParaRPr>
          </a:p>
        </xdr:txBody>
      </xdr:sp>
    </xdr:grpSp>
    <xdr:clientData/>
  </xdr:twoCellAnchor>
  <xdr:twoCellAnchor>
    <xdr:from>
      <xdr:col>7</xdr:col>
      <xdr:colOff>83565</xdr:colOff>
      <xdr:row>1</xdr:row>
      <xdr:rowOff>63310</xdr:rowOff>
    </xdr:from>
    <xdr:to>
      <xdr:col>29</xdr:col>
      <xdr:colOff>371440</xdr:colOff>
      <xdr:row>4</xdr:row>
      <xdr:rowOff>126999</xdr:rowOff>
    </xdr:to>
    <xdr:sp macro="" textlink="">
      <xdr:nvSpPr>
        <xdr:cNvPr id="39" name="TextBox 38">
          <a:extLst>
            <a:ext uri="{FF2B5EF4-FFF2-40B4-BE49-F238E27FC236}">
              <a16:creationId xmlns:a16="http://schemas.microsoft.com/office/drawing/2014/main" id="{1C469251-D50B-043D-117A-45B8C061A6A5}"/>
            </a:ext>
          </a:extLst>
        </xdr:cNvPr>
        <xdr:cNvSpPr txBox="1"/>
      </xdr:nvSpPr>
      <xdr:spPr>
        <a:xfrm>
          <a:off x="4385178" y="247665"/>
          <a:ext cx="13807230" cy="6167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u="sng"/>
            <a:t>INVENTORY</a:t>
          </a:r>
          <a:r>
            <a:rPr lang="en-IN" sz="2800" b="1" u="sng" baseline="0"/>
            <a:t> DASHBOARD</a:t>
          </a:r>
          <a:endParaRPr lang="en-IN" sz="2800" b="1" u="sng"/>
        </a:p>
      </xdr:txBody>
    </xdr:sp>
    <xdr:clientData/>
  </xdr:twoCellAnchor>
  <xdr:twoCellAnchor>
    <xdr:from>
      <xdr:col>6</xdr:col>
      <xdr:colOff>45357</xdr:colOff>
      <xdr:row>10</xdr:row>
      <xdr:rowOff>11339</xdr:rowOff>
    </xdr:from>
    <xdr:to>
      <xdr:col>37</xdr:col>
      <xdr:colOff>14768</xdr:colOff>
      <xdr:row>61</xdr:row>
      <xdr:rowOff>118139</xdr:rowOff>
    </xdr:to>
    <xdr:sp macro="" textlink="">
      <xdr:nvSpPr>
        <xdr:cNvPr id="49" name="Rectangle 48">
          <a:extLst>
            <a:ext uri="{FF2B5EF4-FFF2-40B4-BE49-F238E27FC236}">
              <a16:creationId xmlns:a16="http://schemas.microsoft.com/office/drawing/2014/main" id="{256103C9-C746-B070-35B6-06964C5EC7CE}"/>
            </a:ext>
          </a:extLst>
        </xdr:cNvPr>
        <xdr:cNvSpPr/>
      </xdr:nvSpPr>
      <xdr:spPr>
        <a:xfrm>
          <a:off x="3719286" y="1825625"/>
          <a:ext cx="18951375" cy="935965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589643</xdr:colOff>
      <xdr:row>10</xdr:row>
      <xdr:rowOff>34018</xdr:rowOff>
    </xdr:from>
    <xdr:to>
      <xdr:col>21</xdr:col>
      <xdr:colOff>34323</xdr:colOff>
      <xdr:row>22</xdr:row>
      <xdr:rowOff>149225</xdr:rowOff>
    </xdr:to>
    <xdr:graphicFrame macro="">
      <xdr:nvGraphicFramePr>
        <xdr:cNvPr id="51" name="Chart 50">
          <a:extLst>
            <a:ext uri="{FF2B5EF4-FFF2-40B4-BE49-F238E27FC236}">
              <a16:creationId xmlns:a16="http://schemas.microsoft.com/office/drawing/2014/main" id="{546A85DB-1931-42E7-BCC2-5A96C8B9E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77854</xdr:colOff>
      <xdr:row>9</xdr:row>
      <xdr:rowOff>163690</xdr:rowOff>
    </xdr:from>
    <xdr:to>
      <xdr:col>29</xdr:col>
      <xdr:colOff>308919</xdr:colOff>
      <xdr:row>22</xdr:row>
      <xdr:rowOff>154460</xdr:rowOff>
    </xdr:to>
    <xdr:graphicFrame macro="">
      <xdr:nvGraphicFramePr>
        <xdr:cNvPr id="52" name="Chart 51">
          <a:extLst>
            <a:ext uri="{FF2B5EF4-FFF2-40B4-BE49-F238E27FC236}">
              <a16:creationId xmlns:a16="http://schemas.microsoft.com/office/drawing/2014/main" id="{0708F298-6CAA-4CAC-B202-A9EC60555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235367</xdr:colOff>
      <xdr:row>23</xdr:row>
      <xdr:rowOff>23598</xdr:rowOff>
    </xdr:from>
    <xdr:to>
      <xdr:col>28</xdr:col>
      <xdr:colOff>360406</xdr:colOff>
      <xdr:row>40</xdr:row>
      <xdr:rowOff>77756</xdr:rowOff>
    </xdr:to>
    <xdr:graphicFrame macro="">
      <xdr:nvGraphicFramePr>
        <xdr:cNvPr id="56" name="Chart 55">
          <a:extLst>
            <a:ext uri="{FF2B5EF4-FFF2-40B4-BE49-F238E27FC236}">
              <a16:creationId xmlns:a16="http://schemas.microsoft.com/office/drawing/2014/main" id="{93C48C76-58C4-49BC-96AF-78FC64516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406988</xdr:colOff>
      <xdr:row>23</xdr:row>
      <xdr:rowOff>6436</xdr:rowOff>
    </xdr:from>
    <xdr:to>
      <xdr:col>37</xdr:col>
      <xdr:colOff>12883</xdr:colOff>
      <xdr:row>42</xdr:row>
      <xdr:rowOff>59070</xdr:rowOff>
    </xdr:to>
    <xdr:graphicFrame macro="">
      <xdr:nvGraphicFramePr>
        <xdr:cNvPr id="57" name="Chart 56">
          <a:extLst>
            <a:ext uri="{FF2B5EF4-FFF2-40B4-BE49-F238E27FC236}">
              <a16:creationId xmlns:a16="http://schemas.microsoft.com/office/drawing/2014/main" id="{9E241C9B-F0DA-460B-B874-67ECC4E77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115233</xdr:colOff>
      <xdr:row>40</xdr:row>
      <xdr:rowOff>137299</xdr:rowOff>
    </xdr:from>
    <xdr:to>
      <xdr:col>13</xdr:col>
      <xdr:colOff>90715</xdr:colOff>
      <xdr:row>61</xdr:row>
      <xdr:rowOff>51487</xdr:rowOff>
    </xdr:to>
    <xdr:graphicFrame macro="">
      <xdr:nvGraphicFramePr>
        <xdr:cNvPr id="58" name="Chart 57">
          <a:extLst>
            <a:ext uri="{FF2B5EF4-FFF2-40B4-BE49-F238E27FC236}">
              <a16:creationId xmlns:a16="http://schemas.microsoft.com/office/drawing/2014/main" id="{9C18713B-56F3-4DAB-AD32-C7CBDEBB2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587152</xdr:colOff>
      <xdr:row>61</xdr:row>
      <xdr:rowOff>151195</xdr:rowOff>
    </xdr:from>
    <xdr:to>
      <xdr:col>20</xdr:col>
      <xdr:colOff>414130</xdr:colOff>
      <xdr:row>80</xdr:row>
      <xdr:rowOff>179082</xdr:rowOff>
    </xdr:to>
    <xdr:graphicFrame macro="">
      <xdr:nvGraphicFramePr>
        <xdr:cNvPr id="61" name="Chart 60">
          <a:extLst>
            <a:ext uri="{FF2B5EF4-FFF2-40B4-BE49-F238E27FC236}">
              <a16:creationId xmlns:a16="http://schemas.microsoft.com/office/drawing/2014/main" id="{3AEADC46-79B7-4AD3-AEF1-46DE98405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38</xdr:col>
      <xdr:colOff>547412</xdr:colOff>
      <xdr:row>15</xdr:row>
      <xdr:rowOff>153274</xdr:rowOff>
    </xdr:from>
    <xdr:to>
      <xdr:col>46</xdr:col>
      <xdr:colOff>197067</xdr:colOff>
      <xdr:row>23</xdr:row>
      <xdr:rowOff>109481</xdr:rowOff>
    </xdr:to>
    <xdr:sp macro="" textlink="">
      <xdr:nvSpPr>
        <xdr:cNvPr id="6" name="Arrow: Right 5">
          <a:hlinkClick xmlns:r="http://schemas.openxmlformats.org/officeDocument/2006/relationships" r:id="rId7"/>
          <a:extLst>
            <a:ext uri="{FF2B5EF4-FFF2-40B4-BE49-F238E27FC236}">
              <a16:creationId xmlns:a16="http://schemas.microsoft.com/office/drawing/2014/main" id="{50837010-4063-C8AC-B334-EF4288A9880D}"/>
            </a:ext>
          </a:extLst>
        </xdr:cNvPr>
        <xdr:cNvSpPr/>
      </xdr:nvSpPr>
      <xdr:spPr>
        <a:xfrm rot="10800000">
          <a:off x="23845343" y="2780860"/>
          <a:ext cx="4554483" cy="135758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38</xdr:col>
      <xdr:colOff>569308</xdr:colOff>
      <xdr:row>24</xdr:row>
      <xdr:rowOff>65688</xdr:rowOff>
    </xdr:from>
    <xdr:to>
      <xdr:col>46</xdr:col>
      <xdr:colOff>218963</xdr:colOff>
      <xdr:row>32</xdr:row>
      <xdr:rowOff>21896</xdr:rowOff>
    </xdr:to>
    <xdr:sp macro="" textlink="">
      <xdr:nvSpPr>
        <xdr:cNvPr id="7" name="Arrow: Right 6">
          <a:hlinkClick xmlns:r="http://schemas.openxmlformats.org/officeDocument/2006/relationships" r:id="rId8"/>
          <a:extLst>
            <a:ext uri="{FF2B5EF4-FFF2-40B4-BE49-F238E27FC236}">
              <a16:creationId xmlns:a16="http://schemas.microsoft.com/office/drawing/2014/main" id="{01904D9B-7805-BD2F-79F5-81870684AE33}"/>
            </a:ext>
          </a:extLst>
        </xdr:cNvPr>
        <xdr:cNvSpPr/>
      </xdr:nvSpPr>
      <xdr:spPr>
        <a:xfrm rot="10800000">
          <a:off x="23867239" y="4269826"/>
          <a:ext cx="4554483" cy="135758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38</xdr:col>
      <xdr:colOff>569308</xdr:colOff>
      <xdr:row>32</xdr:row>
      <xdr:rowOff>87585</xdr:rowOff>
    </xdr:from>
    <xdr:to>
      <xdr:col>46</xdr:col>
      <xdr:colOff>218963</xdr:colOff>
      <xdr:row>40</xdr:row>
      <xdr:rowOff>43792</xdr:rowOff>
    </xdr:to>
    <xdr:sp macro="" textlink="">
      <xdr:nvSpPr>
        <xdr:cNvPr id="8" name="Arrow: Right 7">
          <a:hlinkClick xmlns:r="http://schemas.openxmlformats.org/officeDocument/2006/relationships" r:id="rId9"/>
          <a:extLst>
            <a:ext uri="{FF2B5EF4-FFF2-40B4-BE49-F238E27FC236}">
              <a16:creationId xmlns:a16="http://schemas.microsoft.com/office/drawing/2014/main" id="{023C46AC-300F-5311-BB0E-E37F67CAA66F}"/>
            </a:ext>
          </a:extLst>
        </xdr:cNvPr>
        <xdr:cNvSpPr/>
      </xdr:nvSpPr>
      <xdr:spPr>
        <a:xfrm rot="10800000">
          <a:off x="23867239" y="5693102"/>
          <a:ext cx="4554483" cy="135758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38</xdr:col>
      <xdr:colOff>569308</xdr:colOff>
      <xdr:row>40</xdr:row>
      <xdr:rowOff>87584</xdr:rowOff>
    </xdr:from>
    <xdr:to>
      <xdr:col>46</xdr:col>
      <xdr:colOff>218963</xdr:colOff>
      <xdr:row>48</xdr:row>
      <xdr:rowOff>43792</xdr:rowOff>
    </xdr:to>
    <xdr:sp macro="" textlink="">
      <xdr:nvSpPr>
        <xdr:cNvPr id="19" name="Arrow: Right 18">
          <a:hlinkClick xmlns:r="http://schemas.openxmlformats.org/officeDocument/2006/relationships" r:id="rId10"/>
          <a:extLst>
            <a:ext uri="{FF2B5EF4-FFF2-40B4-BE49-F238E27FC236}">
              <a16:creationId xmlns:a16="http://schemas.microsoft.com/office/drawing/2014/main" id="{B5647942-FDF8-1811-EFAF-2CFF0144881D}"/>
            </a:ext>
          </a:extLst>
        </xdr:cNvPr>
        <xdr:cNvSpPr/>
      </xdr:nvSpPr>
      <xdr:spPr>
        <a:xfrm rot="10800000">
          <a:off x="23867239" y="7094481"/>
          <a:ext cx="4554483" cy="135758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38</xdr:col>
      <xdr:colOff>569308</xdr:colOff>
      <xdr:row>48</xdr:row>
      <xdr:rowOff>87584</xdr:rowOff>
    </xdr:from>
    <xdr:to>
      <xdr:col>46</xdr:col>
      <xdr:colOff>218963</xdr:colOff>
      <xdr:row>56</xdr:row>
      <xdr:rowOff>43792</xdr:rowOff>
    </xdr:to>
    <xdr:sp macro="" textlink="">
      <xdr:nvSpPr>
        <xdr:cNvPr id="20" name="Arrow: Right 19">
          <a:hlinkClick xmlns:r="http://schemas.openxmlformats.org/officeDocument/2006/relationships" r:id="rId11"/>
          <a:extLst>
            <a:ext uri="{FF2B5EF4-FFF2-40B4-BE49-F238E27FC236}">
              <a16:creationId xmlns:a16="http://schemas.microsoft.com/office/drawing/2014/main" id="{69A3CB4B-EA42-F375-51F7-F9B9AF700A9D}"/>
            </a:ext>
          </a:extLst>
        </xdr:cNvPr>
        <xdr:cNvSpPr/>
      </xdr:nvSpPr>
      <xdr:spPr>
        <a:xfrm rot="10800000">
          <a:off x="23867239" y="8495860"/>
          <a:ext cx="4554483" cy="135758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38</xdr:col>
      <xdr:colOff>569308</xdr:colOff>
      <xdr:row>56</xdr:row>
      <xdr:rowOff>109481</xdr:rowOff>
    </xdr:from>
    <xdr:to>
      <xdr:col>46</xdr:col>
      <xdr:colOff>218963</xdr:colOff>
      <xdr:row>64</xdr:row>
      <xdr:rowOff>65689</xdr:rowOff>
    </xdr:to>
    <xdr:sp macro="" textlink="">
      <xdr:nvSpPr>
        <xdr:cNvPr id="21" name="Arrow: Right 20">
          <a:hlinkClick xmlns:r="http://schemas.openxmlformats.org/officeDocument/2006/relationships" r:id="rId12"/>
          <a:extLst>
            <a:ext uri="{FF2B5EF4-FFF2-40B4-BE49-F238E27FC236}">
              <a16:creationId xmlns:a16="http://schemas.microsoft.com/office/drawing/2014/main" id="{1A30BF0C-CE93-EAAE-AF32-2418F0D29366}"/>
            </a:ext>
          </a:extLst>
        </xdr:cNvPr>
        <xdr:cNvSpPr/>
      </xdr:nvSpPr>
      <xdr:spPr>
        <a:xfrm rot="10800000">
          <a:off x="23867239" y="9919136"/>
          <a:ext cx="4554483" cy="135758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46</xdr:col>
      <xdr:colOff>525517</xdr:colOff>
      <xdr:row>11</xdr:row>
      <xdr:rowOff>153275</xdr:rowOff>
    </xdr:from>
    <xdr:to>
      <xdr:col>53</xdr:col>
      <xdr:colOff>87586</xdr:colOff>
      <xdr:row>18</xdr:row>
      <xdr:rowOff>131380</xdr:rowOff>
    </xdr:to>
    <xdr:sp macro="" textlink="">
      <xdr:nvSpPr>
        <xdr:cNvPr id="22" name="Arrow: Right 21">
          <a:hlinkClick xmlns:r="http://schemas.openxmlformats.org/officeDocument/2006/relationships" r:id="rId13"/>
          <a:extLst>
            <a:ext uri="{FF2B5EF4-FFF2-40B4-BE49-F238E27FC236}">
              <a16:creationId xmlns:a16="http://schemas.microsoft.com/office/drawing/2014/main" id="{DBE0BEF9-6FA1-04B1-E307-15C66B4C906B}"/>
            </a:ext>
          </a:extLst>
        </xdr:cNvPr>
        <xdr:cNvSpPr/>
      </xdr:nvSpPr>
      <xdr:spPr>
        <a:xfrm rot="10800000">
          <a:off x="28728276" y="2080172"/>
          <a:ext cx="3853793" cy="120431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46</xdr:col>
      <xdr:colOff>591207</xdr:colOff>
      <xdr:row>20</xdr:row>
      <xdr:rowOff>109483</xdr:rowOff>
    </xdr:from>
    <xdr:to>
      <xdr:col>53</xdr:col>
      <xdr:colOff>153276</xdr:colOff>
      <xdr:row>27</xdr:row>
      <xdr:rowOff>87587</xdr:rowOff>
    </xdr:to>
    <xdr:sp macro="" textlink="">
      <xdr:nvSpPr>
        <xdr:cNvPr id="23" name="Arrow: Right 22">
          <a:hlinkClick xmlns:r="http://schemas.openxmlformats.org/officeDocument/2006/relationships" r:id="rId14"/>
          <a:extLst>
            <a:ext uri="{FF2B5EF4-FFF2-40B4-BE49-F238E27FC236}">
              <a16:creationId xmlns:a16="http://schemas.microsoft.com/office/drawing/2014/main" id="{71942FC9-C3E2-93AC-D88D-4C1DFC837460}"/>
            </a:ext>
          </a:extLst>
        </xdr:cNvPr>
        <xdr:cNvSpPr/>
      </xdr:nvSpPr>
      <xdr:spPr>
        <a:xfrm rot="10800000">
          <a:off x="28793966" y="3612931"/>
          <a:ext cx="3853793" cy="120431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47</xdr:col>
      <xdr:colOff>175173</xdr:colOff>
      <xdr:row>30</xdr:row>
      <xdr:rowOff>0</xdr:rowOff>
    </xdr:from>
    <xdr:to>
      <xdr:col>53</xdr:col>
      <xdr:colOff>350345</xdr:colOff>
      <xdr:row>36</xdr:row>
      <xdr:rowOff>153276</xdr:rowOff>
    </xdr:to>
    <xdr:sp macro="" textlink="">
      <xdr:nvSpPr>
        <xdr:cNvPr id="24" name="Arrow: Right 23">
          <a:hlinkClick xmlns:r="http://schemas.openxmlformats.org/officeDocument/2006/relationships" r:id="rId15"/>
          <a:extLst>
            <a:ext uri="{FF2B5EF4-FFF2-40B4-BE49-F238E27FC236}">
              <a16:creationId xmlns:a16="http://schemas.microsoft.com/office/drawing/2014/main" id="{0451FA52-C398-954F-438C-80F4392B5B19}"/>
            </a:ext>
          </a:extLst>
        </xdr:cNvPr>
        <xdr:cNvSpPr/>
      </xdr:nvSpPr>
      <xdr:spPr>
        <a:xfrm rot="10800000">
          <a:off x="28991035" y="5255172"/>
          <a:ext cx="3853793" cy="120431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47</xdr:col>
      <xdr:colOff>240863</xdr:colOff>
      <xdr:row>39</xdr:row>
      <xdr:rowOff>43793</xdr:rowOff>
    </xdr:from>
    <xdr:to>
      <xdr:col>53</xdr:col>
      <xdr:colOff>416035</xdr:colOff>
      <xdr:row>46</xdr:row>
      <xdr:rowOff>21897</xdr:rowOff>
    </xdr:to>
    <xdr:sp macro="" textlink="">
      <xdr:nvSpPr>
        <xdr:cNvPr id="25" name="Arrow: Right 24">
          <a:hlinkClick xmlns:r="http://schemas.openxmlformats.org/officeDocument/2006/relationships" r:id="rId16"/>
          <a:extLst>
            <a:ext uri="{FF2B5EF4-FFF2-40B4-BE49-F238E27FC236}">
              <a16:creationId xmlns:a16="http://schemas.microsoft.com/office/drawing/2014/main" id="{CF45787B-20FF-406F-0384-B88BA7D826C7}"/>
            </a:ext>
          </a:extLst>
        </xdr:cNvPr>
        <xdr:cNvSpPr/>
      </xdr:nvSpPr>
      <xdr:spPr>
        <a:xfrm rot="10800000">
          <a:off x="29056725" y="6875517"/>
          <a:ext cx="3853793" cy="120431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243534</xdr:colOff>
      <xdr:row>66</xdr:row>
      <xdr:rowOff>90257</xdr:rowOff>
    </xdr:from>
    <xdr:to>
      <xdr:col>45</xdr:col>
      <xdr:colOff>418706</xdr:colOff>
      <xdr:row>73</xdr:row>
      <xdr:rowOff>68361</xdr:rowOff>
    </xdr:to>
    <xdr:sp macro="" textlink="">
      <xdr:nvSpPr>
        <xdr:cNvPr id="26" name="Arrow: Right 25">
          <a:hlinkClick xmlns:r="http://schemas.openxmlformats.org/officeDocument/2006/relationships" r:id="rId17"/>
          <a:extLst>
            <a:ext uri="{FF2B5EF4-FFF2-40B4-BE49-F238E27FC236}">
              <a16:creationId xmlns:a16="http://schemas.microsoft.com/office/drawing/2014/main" id="{2B5DD67E-E614-0023-32D1-7412935E9FB9}"/>
            </a:ext>
          </a:extLst>
        </xdr:cNvPr>
        <xdr:cNvSpPr/>
      </xdr:nvSpPr>
      <xdr:spPr>
        <a:xfrm rot="10800000">
          <a:off x="23800485" y="12356598"/>
          <a:ext cx="3799319" cy="127908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37</xdr:col>
      <xdr:colOff>588309</xdr:colOff>
      <xdr:row>4</xdr:row>
      <xdr:rowOff>37353</xdr:rowOff>
    </xdr:from>
    <xdr:ext cx="184731" cy="264560"/>
    <xdr:sp macro="" textlink="">
      <xdr:nvSpPr>
        <xdr:cNvPr id="27" name="TextBox 26">
          <a:extLst>
            <a:ext uri="{FF2B5EF4-FFF2-40B4-BE49-F238E27FC236}">
              <a16:creationId xmlns:a16="http://schemas.microsoft.com/office/drawing/2014/main" id="{67A37475-E9DC-A7B2-7B2B-E97F316C5B6E}"/>
            </a:ext>
          </a:extLst>
        </xdr:cNvPr>
        <xdr:cNvSpPr txBox="1"/>
      </xdr:nvSpPr>
      <xdr:spPr>
        <a:xfrm>
          <a:off x="23046765" y="78441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41</xdr:col>
      <xdr:colOff>112059</xdr:colOff>
      <xdr:row>19</xdr:row>
      <xdr:rowOff>46692</xdr:rowOff>
    </xdr:from>
    <xdr:to>
      <xdr:col>44</xdr:col>
      <xdr:colOff>177426</xdr:colOff>
      <xdr:row>20</xdr:row>
      <xdr:rowOff>56030</xdr:rowOff>
    </xdr:to>
    <xdr:sp macro="" textlink="">
      <xdr:nvSpPr>
        <xdr:cNvPr id="29" name="TextBox 28">
          <a:extLst>
            <a:ext uri="{FF2B5EF4-FFF2-40B4-BE49-F238E27FC236}">
              <a16:creationId xmlns:a16="http://schemas.microsoft.com/office/drawing/2014/main" id="{4DDC1418-3F38-8F90-51D7-4FF93BD908AD}"/>
            </a:ext>
          </a:extLst>
        </xdr:cNvPr>
        <xdr:cNvSpPr txBox="1"/>
      </xdr:nvSpPr>
      <xdr:spPr>
        <a:xfrm>
          <a:off x="24998456" y="3595221"/>
          <a:ext cx="1886323" cy="196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STORE WISE SALES</a:t>
          </a:r>
        </a:p>
      </xdr:txBody>
    </xdr:sp>
    <xdr:clientData/>
  </xdr:twoCellAnchor>
  <xdr:twoCellAnchor>
    <xdr:from>
      <xdr:col>41</xdr:col>
      <xdr:colOff>112059</xdr:colOff>
      <xdr:row>9</xdr:row>
      <xdr:rowOff>93383</xdr:rowOff>
    </xdr:from>
    <xdr:to>
      <xdr:col>44</xdr:col>
      <xdr:colOff>177426</xdr:colOff>
      <xdr:row>10</xdr:row>
      <xdr:rowOff>102721</xdr:rowOff>
    </xdr:to>
    <xdr:sp macro="" textlink="">
      <xdr:nvSpPr>
        <xdr:cNvPr id="30" name="TextBox 29">
          <a:extLst>
            <a:ext uri="{FF2B5EF4-FFF2-40B4-BE49-F238E27FC236}">
              <a16:creationId xmlns:a16="http://schemas.microsoft.com/office/drawing/2014/main" id="{A6A2DB27-1C79-C03D-C189-1A8D3F6FDAC0}"/>
            </a:ext>
          </a:extLst>
        </xdr:cNvPr>
        <xdr:cNvSpPr txBox="1"/>
      </xdr:nvSpPr>
      <xdr:spPr>
        <a:xfrm>
          <a:off x="24998456" y="1774265"/>
          <a:ext cx="1886323" cy="196103"/>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bg1"/>
              </a:solidFill>
            </a:rPr>
            <a:t>L </a:t>
          </a:r>
          <a:endParaRPr lang="en-IN" sz="1100"/>
        </a:p>
      </xdr:txBody>
    </xdr:sp>
    <xdr:clientData/>
  </xdr:twoCellAnchor>
  <xdr:twoCellAnchor>
    <xdr:from>
      <xdr:col>41</xdr:col>
      <xdr:colOff>112059</xdr:colOff>
      <xdr:row>27</xdr:row>
      <xdr:rowOff>158750</xdr:rowOff>
    </xdr:from>
    <xdr:to>
      <xdr:col>44</xdr:col>
      <xdr:colOff>177426</xdr:colOff>
      <xdr:row>28</xdr:row>
      <xdr:rowOff>168088</xdr:rowOff>
    </xdr:to>
    <xdr:sp macro="" textlink="">
      <xdr:nvSpPr>
        <xdr:cNvPr id="33" name="TextBox 32">
          <a:extLst>
            <a:ext uri="{FF2B5EF4-FFF2-40B4-BE49-F238E27FC236}">
              <a16:creationId xmlns:a16="http://schemas.microsoft.com/office/drawing/2014/main" id="{B4CCCFCB-7A98-BD99-400D-16900E85B458}"/>
            </a:ext>
          </a:extLst>
        </xdr:cNvPr>
        <xdr:cNvSpPr txBox="1"/>
      </xdr:nvSpPr>
      <xdr:spPr>
        <a:xfrm>
          <a:off x="24998456" y="5201397"/>
          <a:ext cx="1886323" cy="196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SALES GROWTH</a:t>
          </a:r>
        </a:p>
      </xdr:txBody>
    </xdr:sp>
    <xdr:clientData/>
  </xdr:twoCellAnchor>
  <xdr:twoCellAnchor>
    <xdr:from>
      <xdr:col>41</xdr:col>
      <xdr:colOff>112059</xdr:colOff>
      <xdr:row>36</xdr:row>
      <xdr:rowOff>18676</xdr:rowOff>
    </xdr:from>
    <xdr:to>
      <xdr:col>44</xdr:col>
      <xdr:colOff>177426</xdr:colOff>
      <xdr:row>37</xdr:row>
      <xdr:rowOff>28014</xdr:rowOff>
    </xdr:to>
    <xdr:sp macro="" textlink="">
      <xdr:nvSpPr>
        <xdr:cNvPr id="48" name="TextBox 47">
          <a:extLst>
            <a:ext uri="{FF2B5EF4-FFF2-40B4-BE49-F238E27FC236}">
              <a16:creationId xmlns:a16="http://schemas.microsoft.com/office/drawing/2014/main" id="{2E3159FC-6BA9-1CBE-963A-59DEAB7EEFB9}"/>
            </a:ext>
          </a:extLst>
        </xdr:cNvPr>
        <xdr:cNvSpPr txBox="1"/>
      </xdr:nvSpPr>
      <xdr:spPr>
        <a:xfrm>
          <a:off x="24998456" y="6742205"/>
          <a:ext cx="1886323" cy="196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DAILY SALES TREND</a:t>
          </a:r>
        </a:p>
      </xdr:txBody>
    </xdr:sp>
    <xdr:clientData/>
  </xdr:twoCellAnchor>
  <xdr:twoCellAnchor>
    <xdr:from>
      <xdr:col>41</xdr:col>
      <xdr:colOff>112059</xdr:colOff>
      <xdr:row>43</xdr:row>
      <xdr:rowOff>177426</xdr:rowOff>
    </xdr:from>
    <xdr:to>
      <xdr:col>44</xdr:col>
      <xdr:colOff>177426</xdr:colOff>
      <xdr:row>44</xdr:row>
      <xdr:rowOff>186764</xdr:rowOff>
    </xdr:to>
    <xdr:sp macro="" textlink="">
      <xdr:nvSpPr>
        <xdr:cNvPr id="63" name="TextBox 62">
          <a:extLst>
            <a:ext uri="{FF2B5EF4-FFF2-40B4-BE49-F238E27FC236}">
              <a16:creationId xmlns:a16="http://schemas.microsoft.com/office/drawing/2014/main" id="{78C34102-0844-7569-A270-7D8FF9B27671}"/>
            </a:ext>
          </a:extLst>
        </xdr:cNvPr>
        <xdr:cNvSpPr txBox="1"/>
      </xdr:nvSpPr>
      <xdr:spPr>
        <a:xfrm>
          <a:off x="24998456" y="8208308"/>
          <a:ext cx="1886323" cy="196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BRAND WISE SALES</a:t>
          </a:r>
        </a:p>
      </xdr:txBody>
    </xdr:sp>
    <xdr:clientData/>
  </xdr:twoCellAnchor>
  <xdr:twoCellAnchor>
    <xdr:from>
      <xdr:col>41</xdr:col>
      <xdr:colOff>112059</xdr:colOff>
      <xdr:row>51</xdr:row>
      <xdr:rowOff>177426</xdr:rowOff>
    </xdr:from>
    <xdr:to>
      <xdr:col>44</xdr:col>
      <xdr:colOff>177426</xdr:colOff>
      <xdr:row>53</xdr:row>
      <xdr:rowOff>0</xdr:rowOff>
    </xdr:to>
    <xdr:sp macro="" textlink="">
      <xdr:nvSpPr>
        <xdr:cNvPr id="65" name="TextBox 64">
          <a:extLst>
            <a:ext uri="{FF2B5EF4-FFF2-40B4-BE49-F238E27FC236}">
              <a16:creationId xmlns:a16="http://schemas.microsoft.com/office/drawing/2014/main" id="{EEF62253-EEC2-D1BB-C0BF-8D78990CDEA3}"/>
            </a:ext>
          </a:extLst>
        </xdr:cNvPr>
        <xdr:cNvSpPr txBox="1"/>
      </xdr:nvSpPr>
      <xdr:spPr>
        <a:xfrm>
          <a:off x="24998456" y="9702426"/>
          <a:ext cx="1886323" cy="196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GROSS PROFIT</a:t>
          </a:r>
        </a:p>
      </xdr:txBody>
    </xdr:sp>
    <xdr:clientData/>
  </xdr:twoCellAnchor>
  <xdr:twoCellAnchor>
    <xdr:from>
      <xdr:col>41</xdr:col>
      <xdr:colOff>112059</xdr:colOff>
      <xdr:row>59</xdr:row>
      <xdr:rowOff>130735</xdr:rowOff>
    </xdr:from>
    <xdr:to>
      <xdr:col>44</xdr:col>
      <xdr:colOff>177426</xdr:colOff>
      <xdr:row>60</xdr:row>
      <xdr:rowOff>140074</xdr:rowOff>
    </xdr:to>
    <xdr:sp macro="" textlink="">
      <xdr:nvSpPr>
        <xdr:cNvPr id="67" name="TextBox 66">
          <a:extLst>
            <a:ext uri="{FF2B5EF4-FFF2-40B4-BE49-F238E27FC236}">
              <a16:creationId xmlns:a16="http://schemas.microsoft.com/office/drawing/2014/main" id="{1E3DE566-D6D0-4694-11CD-BF3C67D23D5D}"/>
            </a:ext>
          </a:extLst>
        </xdr:cNvPr>
        <xdr:cNvSpPr txBox="1"/>
      </xdr:nvSpPr>
      <xdr:spPr>
        <a:xfrm>
          <a:off x="24998456" y="11149853"/>
          <a:ext cx="1886323" cy="196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PRODUCT</a:t>
          </a:r>
          <a:r>
            <a:rPr lang="en-IN" sz="1100" b="1" baseline="0"/>
            <a:t> INVENTORY</a:t>
          </a:r>
          <a:endParaRPr lang="en-IN" sz="1100" b="1"/>
        </a:p>
      </xdr:txBody>
    </xdr:sp>
    <xdr:clientData/>
  </xdr:twoCellAnchor>
  <xdr:twoCellAnchor>
    <xdr:from>
      <xdr:col>40</xdr:col>
      <xdr:colOff>564394</xdr:colOff>
      <xdr:row>69</xdr:row>
      <xdr:rowOff>111832</xdr:rowOff>
    </xdr:from>
    <xdr:to>
      <xdr:col>44</xdr:col>
      <xdr:colOff>25737</xdr:colOff>
      <xdr:row>70</xdr:row>
      <xdr:rowOff>121170</xdr:rowOff>
    </xdr:to>
    <xdr:sp macro="" textlink="">
      <xdr:nvSpPr>
        <xdr:cNvPr id="68" name="TextBox 67">
          <a:extLst>
            <a:ext uri="{FF2B5EF4-FFF2-40B4-BE49-F238E27FC236}">
              <a16:creationId xmlns:a16="http://schemas.microsoft.com/office/drawing/2014/main" id="{0DAE0709-321A-DA00-AF19-F331CD709A36}"/>
            </a:ext>
          </a:extLst>
        </xdr:cNvPr>
        <xdr:cNvSpPr txBox="1"/>
      </xdr:nvSpPr>
      <xdr:spPr>
        <a:xfrm>
          <a:off x="24725370" y="12935734"/>
          <a:ext cx="1877440" cy="1951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1" baseline="0"/>
            <a:t> PROFIT BY REGION</a:t>
          </a:r>
          <a:endParaRPr lang="en-IN" sz="1100" b="1"/>
        </a:p>
      </xdr:txBody>
    </xdr:sp>
    <xdr:clientData/>
  </xdr:twoCellAnchor>
  <xdr:twoCellAnchor>
    <xdr:from>
      <xdr:col>49</xdr:col>
      <xdr:colOff>186766</xdr:colOff>
      <xdr:row>42</xdr:row>
      <xdr:rowOff>28014</xdr:rowOff>
    </xdr:from>
    <xdr:to>
      <xdr:col>52</xdr:col>
      <xdr:colOff>252133</xdr:colOff>
      <xdr:row>43</xdr:row>
      <xdr:rowOff>37353</xdr:rowOff>
    </xdr:to>
    <xdr:sp macro="" textlink="">
      <xdr:nvSpPr>
        <xdr:cNvPr id="71" name="TextBox 70">
          <a:extLst>
            <a:ext uri="{FF2B5EF4-FFF2-40B4-BE49-F238E27FC236}">
              <a16:creationId xmlns:a16="http://schemas.microsoft.com/office/drawing/2014/main" id="{E1B8DD45-F138-FBF9-DB20-66341E51D3C0}"/>
            </a:ext>
          </a:extLst>
        </xdr:cNvPr>
        <xdr:cNvSpPr txBox="1"/>
      </xdr:nvSpPr>
      <xdr:spPr>
        <a:xfrm>
          <a:off x="29929045" y="7872132"/>
          <a:ext cx="1886323" cy="196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PROFIT REGION</a:t>
          </a:r>
        </a:p>
      </xdr:txBody>
    </xdr:sp>
    <xdr:clientData/>
  </xdr:twoCellAnchor>
  <xdr:twoCellAnchor>
    <xdr:from>
      <xdr:col>49</xdr:col>
      <xdr:colOff>58004</xdr:colOff>
      <xdr:row>23</xdr:row>
      <xdr:rowOff>92065</xdr:rowOff>
    </xdr:from>
    <xdr:to>
      <xdr:col>52</xdr:col>
      <xdr:colOff>123371</xdr:colOff>
      <xdr:row>24</xdr:row>
      <xdr:rowOff>101404</xdr:rowOff>
    </xdr:to>
    <xdr:sp macro="" textlink="">
      <xdr:nvSpPr>
        <xdr:cNvPr id="74" name="TextBox 73">
          <a:extLst>
            <a:ext uri="{FF2B5EF4-FFF2-40B4-BE49-F238E27FC236}">
              <a16:creationId xmlns:a16="http://schemas.microsoft.com/office/drawing/2014/main" id="{C8A85F8E-05CC-C270-6FCD-25DB46AA6318}"/>
            </a:ext>
          </a:extLst>
        </xdr:cNvPr>
        <xdr:cNvSpPr txBox="1"/>
      </xdr:nvSpPr>
      <xdr:spPr>
        <a:xfrm>
          <a:off x="29858286" y="4309002"/>
          <a:ext cx="1889874" cy="1926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INVENTORY</a:t>
          </a:r>
          <a:r>
            <a:rPr lang="en-IN" sz="1100" b="1" baseline="0"/>
            <a:t> VALUE</a:t>
          </a:r>
          <a:endParaRPr lang="en-IN" sz="1100" b="1"/>
        </a:p>
      </xdr:txBody>
    </xdr:sp>
    <xdr:clientData/>
  </xdr:twoCellAnchor>
  <xdr:twoCellAnchor>
    <xdr:from>
      <xdr:col>49</xdr:col>
      <xdr:colOff>56030</xdr:colOff>
      <xdr:row>14</xdr:row>
      <xdr:rowOff>158749</xdr:rowOff>
    </xdr:from>
    <xdr:to>
      <xdr:col>52</xdr:col>
      <xdr:colOff>121397</xdr:colOff>
      <xdr:row>15</xdr:row>
      <xdr:rowOff>168087</xdr:rowOff>
    </xdr:to>
    <xdr:sp macro="" textlink="">
      <xdr:nvSpPr>
        <xdr:cNvPr id="78" name="TextBox 77">
          <a:extLst>
            <a:ext uri="{FF2B5EF4-FFF2-40B4-BE49-F238E27FC236}">
              <a16:creationId xmlns:a16="http://schemas.microsoft.com/office/drawing/2014/main" id="{4AB84891-6F8B-722A-ECBD-D822E080FE32}"/>
            </a:ext>
          </a:extLst>
        </xdr:cNvPr>
        <xdr:cNvSpPr txBox="1"/>
      </xdr:nvSpPr>
      <xdr:spPr>
        <a:xfrm>
          <a:off x="29798309" y="2773455"/>
          <a:ext cx="1886323" cy="196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OUT OF STOCK</a:t>
          </a:r>
        </a:p>
      </xdr:txBody>
    </xdr:sp>
    <xdr:clientData/>
  </xdr:twoCellAnchor>
  <xdr:twoCellAnchor>
    <xdr:from>
      <xdr:col>38</xdr:col>
      <xdr:colOff>520919</xdr:colOff>
      <xdr:row>6</xdr:row>
      <xdr:rowOff>156688</xdr:rowOff>
    </xdr:from>
    <xdr:to>
      <xdr:col>45</xdr:col>
      <xdr:colOff>581396</xdr:colOff>
      <xdr:row>14</xdr:row>
      <xdr:rowOff>79719</xdr:rowOff>
    </xdr:to>
    <xdr:sp macro="" textlink="">
      <xdr:nvSpPr>
        <xdr:cNvPr id="31" name="Arrow: Right 30">
          <a:hlinkClick xmlns:r="http://schemas.openxmlformats.org/officeDocument/2006/relationships" r:id="rId18"/>
          <a:extLst>
            <a:ext uri="{FF2B5EF4-FFF2-40B4-BE49-F238E27FC236}">
              <a16:creationId xmlns:a16="http://schemas.microsoft.com/office/drawing/2014/main" id="{16EA1855-9F09-A10E-B642-E8AD70775102}"/>
            </a:ext>
          </a:extLst>
        </xdr:cNvPr>
        <xdr:cNvSpPr/>
      </xdr:nvSpPr>
      <xdr:spPr>
        <a:xfrm rot="10800000">
          <a:off x="23554101" y="1253506"/>
          <a:ext cx="4303431" cy="138545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40</xdr:col>
      <xdr:colOff>468691</xdr:colOff>
      <xdr:row>10</xdr:row>
      <xdr:rowOff>30238</xdr:rowOff>
    </xdr:from>
    <xdr:to>
      <xdr:col>44</xdr:col>
      <xdr:colOff>574524</xdr:colOff>
      <xdr:row>11</xdr:row>
      <xdr:rowOff>120953</xdr:rowOff>
    </xdr:to>
    <xdr:sp macro="" textlink="">
      <xdr:nvSpPr>
        <xdr:cNvPr id="32" name="TextBox 31">
          <a:extLst>
            <a:ext uri="{FF2B5EF4-FFF2-40B4-BE49-F238E27FC236}">
              <a16:creationId xmlns:a16="http://schemas.microsoft.com/office/drawing/2014/main" id="{6741A582-2CA6-CF49-59F5-14F90D2BC209}"/>
            </a:ext>
          </a:extLst>
        </xdr:cNvPr>
        <xdr:cNvSpPr txBox="1"/>
      </xdr:nvSpPr>
      <xdr:spPr>
        <a:xfrm>
          <a:off x="24659167" y="1844524"/>
          <a:ext cx="2524881" cy="272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SALES (YTD,MTD,QTD)</a:t>
          </a:r>
          <a:endParaRPr lang="en-IN" sz="1400" b="1"/>
        </a:p>
      </xdr:txBody>
    </xdr:sp>
    <xdr:clientData/>
  </xdr:twoCellAnchor>
  <xdr:twoCellAnchor>
    <xdr:from>
      <xdr:col>29</xdr:col>
      <xdr:colOff>317500</xdr:colOff>
      <xdr:row>9</xdr:row>
      <xdr:rowOff>73026</xdr:rowOff>
    </xdr:from>
    <xdr:to>
      <xdr:col>37</xdr:col>
      <xdr:colOff>10885</xdr:colOff>
      <xdr:row>22</xdr:row>
      <xdr:rowOff>170090</xdr:rowOff>
    </xdr:to>
    <xdr:graphicFrame macro="">
      <xdr:nvGraphicFramePr>
        <xdr:cNvPr id="34" name="Chart 33">
          <a:extLst>
            <a:ext uri="{FF2B5EF4-FFF2-40B4-BE49-F238E27FC236}">
              <a16:creationId xmlns:a16="http://schemas.microsoft.com/office/drawing/2014/main" id="{EE4D0ADA-2E42-49E9-8D3D-7A60AC204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185208</xdr:colOff>
      <xdr:row>23</xdr:row>
      <xdr:rowOff>26457</xdr:rowOff>
    </xdr:from>
    <xdr:to>
      <xdr:col>13</xdr:col>
      <xdr:colOff>26458</xdr:colOff>
      <xdr:row>40</xdr:row>
      <xdr:rowOff>132291</xdr:rowOff>
    </xdr:to>
    <xdr:graphicFrame macro="">
      <xdr:nvGraphicFramePr>
        <xdr:cNvPr id="36" name="Chart 35">
          <a:extLst>
            <a:ext uri="{FF2B5EF4-FFF2-40B4-BE49-F238E27FC236}">
              <a16:creationId xmlns:a16="http://schemas.microsoft.com/office/drawing/2014/main" id="{E5E1FA37-D6DE-4384-ADA5-8213C9767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39687</xdr:colOff>
      <xdr:row>23</xdr:row>
      <xdr:rowOff>12959</xdr:rowOff>
    </xdr:from>
    <xdr:to>
      <xdr:col>20</xdr:col>
      <xdr:colOff>185209</xdr:colOff>
      <xdr:row>40</xdr:row>
      <xdr:rowOff>171980</xdr:rowOff>
    </xdr:to>
    <xdr:graphicFrame macro="">
      <xdr:nvGraphicFramePr>
        <xdr:cNvPr id="37" name="Chart 36">
          <a:extLst>
            <a:ext uri="{FF2B5EF4-FFF2-40B4-BE49-F238E27FC236}">
              <a16:creationId xmlns:a16="http://schemas.microsoft.com/office/drawing/2014/main" id="{24C863BF-0157-4D70-BA22-552571C02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13</xdr:col>
      <xdr:colOff>51837</xdr:colOff>
      <xdr:row>40</xdr:row>
      <xdr:rowOff>132292</xdr:rowOff>
    </xdr:from>
    <xdr:to>
      <xdr:col>20</xdr:col>
      <xdr:colOff>285102</xdr:colOff>
      <xdr:row>61</xdr:row>
      <xdr:rowOff>100012</xdr:rowOff>
    </xdr:to>
    <xdr:graphicFrame macro="">
      <xdr:nvGraphicFramePr>
        <xdr:cNvPr id="38" name="Chart 37">
          <a:extLst>
            <a:ext uri="{FF2B5EF4-FFF2-40B4-BE49-F238E27FC236}">
              <a16:creationId xmlns:a16="http://schemas.microsoft.com/office/drawing/2014/main" id="{69603269-13A2-451A-8C24-471BB6F9D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20</xdr:col>
      <xdr:colOff>308920</xdr:colOff>
      <xdr:row>41</xdr:row>
      <xdr:rowOff>34324</xdr:rowOff>
    </xdr:from>
    <xdr:to>
      <xdr:col>28</xdr:col>
      <xdr:colOff>155712</xdr:colOff>
      <xdr:row>61</xdr:row>
      <xdr:rowOff>34323</xdr:rowOff>
    </xdr:to>
    <xdr:graphicFrame macro="">
      <xdr:nvGraphicFramePr>
        <xdr:cNvPr id="42" name="Chart 41">
          <a:extLst>
            <a:ext uri="{FF2B5EF4-FFF2-40B4-BE49-F238E27FC236}">
              <a16:creationId xmlns:a16="http://schemas.microsoft.com/office/drawing/2014/main" id="{12BFA014-210B-4277-8274-17C49AA51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28</xdr:col>
      <xdr:colOff>184354</xdr:colOff>
      <xdr:row>42</xdr:row>
      <xdr:rowOff>40968</xdr:rowOff>
    </xdr:from>
    <xdr:to>
      <xdr:col>37</xdr:col>
      <xdr:colOff>61451</xdr:colOff>
      <xdr:row>61</xdr:row>
      <xdr:rowOff>40968</xdr:rowOff>
    </xdr:to>
    <xdr:graphicFrame macro="">
      <xdr:nvGraphicFramePr>
        <xdr:cNvPr id="43" name="Chart 42">
          <a:extLst>
            <a:ext uri="{FF2B5EF4-FFF2-40B4-BE49-F238E27FC236}">
              <a16:creationId xmlns:a16="http://schemas.microsoft.com/office/drawing/2014/main" id="{DEE14769-FB33-409F-A468-B0618CA95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20</xdr:col>
      <xdr:colOff>335140</xdr:colOff>
      <xdr:row>62</xdr:row>
      <xdr:rowOff>55217</xdr:rowOff>
    </xdr:from>
    <xdr:to>
      <xdr:col>37</xdr:col>
      <xdr:colOff>88195</xdr:colOff>
      <xdr:row>81</xdr:row>
      <xdr:rowOff>35278</xdr:rowOff>
    </xdr:to>
    <xdr:graphicFrame macro="">
      <xdr:nvGraphicFramePr>
        <xdr:cNvPr id="44" name="Chart 43">
          <a:extLst>
            <a:ext uri="{FF2B5EF4-FFF2-40B4-BE49-F238E27FC236}">
              <a16:creationId xmlns:a16="http://schemas.microsoft.com/office/drawing/2014/main" id="{A3F5C2CF-8EE0-4741-8436-69F96F1C0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47</xdr:col>
      <xdr:colOff>495312</xdr:colOff>
      <xdr:row>50</xdr:row>
      <xdr:rowOff>114634</xdr:rowOff>
    </xdr:from>
    <xdr:to>
      <xdr:col>54</xdr:col>
      <xdr:colOff>133366</xdr:colOff>
      <xdr:row>57</xdr:row>
      <xdr:rowOff>46166</xdr:rowOff>
    </xdr:to>
    <xdr:sp macro="" textlink="">
      <xdr:nvSpPr>
        <xdr:cNvPr id="46" name="Arrow: Right 45">
          <a:hlinkClick xmlns:r="http://schemas.openxmlformats.org/officeDocument/2006/relationships" r:id="rId26"/>
          <a:extLst>
            <a:ext uri="{FF2B5EF4-FFF2-40B4-BE49-F238E27FC236}">
              <a16:creationId xmlns:a16="http://schemas.microsoft.com/office/drawing/2014/main" id="{F36244B8-A059-0B66-6128-9A4D3D54D5AC}"/>
            </a:ext>
          </a:extLst>
        </xdr:cNvPr>
        <xdr:cNvSpPr/>
      </xdr:nvSpPr>
      <xdr:spPr>
        <a:xfrm rot="10800000">
          <a:off x="28884458" y="9407317"/>
          <a:ext cx="3866225" cy="123250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47</xdr:col>
      <xdr:colOff>567471</xdr:colOff>
      <xdr:row>61</xdr:row>
      <xdr:rowOff>181513</xdr:rowOff>
    </xdr:from>
    <xdr:to>
      <xdr:col>54</xdr:col>
      <xdr:colOff>205525</xdr:colOff>
      <xdr:row>68</xdr:row>
      <xdr:rowOff>111286</xdr:rowOff>
    </xdr:to>
    <xdr:sp macro="" textlink="">
      <xdr:nvSpPr>
        <xdr:cNvPr id="47" name="Arrow: Right 46">
          <a:hlinkClick xmlns:r="http://schemas.openxmlformats.org/officeDocument/2006/relationships" r:id="rId27"/>
          <a:extLst>
            <a:ext uri="{FF2B5EF4-FFF2-40B4-BE49-F238E27FC236}">
              <a16:creationId xmlns:a16="http://schemas.microsoft.com/office/drawing/2014/main" id="{B01C1048-9477-D2BC-9360-5CE2725E9DC7}"/>
            </a:ext>
          </a:extLst>
        </xdr:cNvPr>
        <xdr:cNvSpPr/>
      </xdr:nvSpPr>
      <xdr:spPr>
        <a:xfrm rot="10800000">
          <a:off x="29055880" y="11625945"/>
          <a:ext cx="3881009" cy="12430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49</xdr:col>
      <xdr:colOff>303068</xdr:colOff>
      <xdr:row>53</xdr:row>
      <xdr:rowOff>36079</xdr:rowOff>
    </xdr:from>
    <xdr:to>
      <xdr:col>53</xdr:col>
      <xdr:colOff>223693</xdr:colOff>
      <xdr:row>54</xdr:row>
      <xdr:rowOff>36080</xdr:rowOff>
    </xdr:to>
    <xdr:sp macro="" textlink="">
      <xdr:nvSpPr>
        <xdr:cNvPr id="50" name="TextBox 49">
          <a:extLst>
            <a:ext uri="{FF2B5EF4-FFF2-40B4-BE49-F238E27FC236}">
              <a16:creationId xmlns:a16="http://schemas.microsoft.com/office/drawing/2014/main" id="{4AAE083F-B3F3-42F5-5497-1DD807493A8B}"/>
            </a:ext>
          </a:extLst>
        </xdr:cNvPr>
        <xdr:cNvSpPr txBox="1"/>
      </xdr:nvSpPr>
      <xdr:spPr>
        <a:xfrm>
          <a:off x="30003750" y="9979602"/>
          <a:ext cx="2345170" cy="1876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ysClr val="windowText" lastClr="000000"/>
              </a:solidFill>
            </a:rPr>
            <a:t>PROFIT MARGIN</a:t>
          </a:r>
        </a:p>
      </xdr:txBody>
    </xdr:sp>
    <xdr:clientData/>
  </xdr:twoCellAnchor>
  <xdr:twoCellAnchor>
    <xdr:from>
      <xdr:col>49</xdr:col>
      <xdr:colOff>180398</xdr:colOff>
      <xdr:row>64</xdr:row>
      <xdr:rowOff>64943</xdr:rowOff>
    </xdr:from>
    <xdr:to>
      <xdr:col>53</xdr:col>
      <xdr:colOff>396875</xdr:colOff>
      <xdr:row>65</xdr:row>
      <xdr:rowOff>108239</xdr:rowOff>
    </xdr:to>
    <xdr:sp macro="" textlink="">
      <xdr:nvSpPr>
        <xdr:cNvPr id="53" name="TextBox 52">
          <a:extLst>
            <a:ext uri="{FF2B5EF4-FFF2-40B4-BE49-F238E27FC236}">
              <a16:creationId xmlns:a16="http://schemas.microsoft.com/office/drawing/2014/main" id="{B79CDF29-AD50-657C-CB1C-6D19593D52D4}"/>
            </a:ext>
          </a:extLst>
        </xdr:cNvPr>
        <xdr:cNvSpPr txBox="1"/>
      </xdr:nvSpPr>
      <xdr:spPr>
        <a:xfrm>
          <a:off x="29881080" y="12072216"/>
          <a:ext cx="2641022" cy="2309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UNIQUE ORDER</a:t>
          </a:r>
          <a:r>
            <a:rPr lang="en-IN" sz="1100" b="1" baseline="0"/>
            <a:t> REGION</a:t>
          </a:r>
          <a:endParaRPr lang="en-IN" sz="1100" b="1"/>
        </a:p>
      </xdr:txBody>
    </xdr:sp>
    <xdr:clientData/>
  </xdr:twoCellAnchor>
  <xdr:twoCellAnchor editAs="oneCell">
    <xdr:from>
      <xdr:col>2</xdr:col>
      <xdr:colOff>586893</xdr:colOff>
      <xdr:row>10</xdr:row>
      <xdr:rowOff>28864</xdr:rowOff>
    </xdr:from>
    <xdr:to>
      <xdr:col>5</xdr:col>
      <xdr:colOff>538788</xdr:colOff>
      <xdr:row>23</xdr:row>
      <xdr:rowOff>9621</xdr:rowOff>
    </xdr:to>
    <mc:AlternateContent xmlns:mc="http://schemas.openxmlformats.org/markup-compatibility/2006" xmlns:a14="http://schemas.microsoft.com/office/drawing/2010/main">
      <mc:Choice Requires="a14">
        <xdr:graphicFrame macro="">
          <xdr:nvGraphicFramePr>
            <xdr:cNvPr id="35" name="sheet4.Store Name 1">
              <a:extLst>
                <a:ext uri="{FF2B5EF4-FFF2-40B4-BE49-F238E27FC236}">
                  <a16:creationId xmlns:a16="http://schemas.microsoft.com/office/drawing/2014/main" id="{CD2F13BB-D9E5-4666-9FE4-235791F558DE}"/>
                </a:ext>
              </a:extLst>
            </xdr:cNvPr>
            <xdr:cNvGraphicFramePr/>
          </xdr:nvGraphicFramePr>
          <xdr:xfrm>
            <a:off x="0" y="0"/>
            <a:ext cx="0" cy="0"/>
          </xdr:xfrm>
          <a:graphic>
            <a:graphicData uri="http://schemas.microsoft.com/office/drawing/2010/slicer">
              <sle:slicer xmlns:sle="http://schemas.microsoft.com/office/drawing/2010/slicer" name="sheet4.Store Name 1"/>
            </a:graphicData>
          </a:graphic>
        </xdr:graphicFrame>
      </mc:Choice>
      <mc:Fallback xmlns="">
        <xdr:sp macro="" textlink="">
          <xdr:nvSpPr>
            <xdr:cNvPr id="0" name=""/>
            <xdr:cNvSpPr>
              <a:spLocks noTextEdit="1"/>
            </xdr:cNvSpPr>
          </xdr:nvSpPr>
          <xdr:spPr>
            <a:xfrm>
              <a:off x="1803976" y="1880947"/>
              <a:ext cx="1777520" cy="2388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104253</xdr:rowOff>
    </xdr:from>
    <xdr:to>
      <xdr:col>2</xdr:col>
      <xdr:colOff>596615</xdr:colOff>
      <xdr:row>35</xdr:row>
      <xdr:rowOff>35520</xdr:rowOff>
    </xdr:to>
    <mc:AlternateContent xmlns:mc="http://schemas.openxmlformats.org/markup-compatibility/2006" xmlns:a14="http://schemas.microsoft.com/office/drawing/2010/main">
      <mc:Choice Requires="a14">
        <xdr:graphicFrame macro="">
          <xdr:nvGraphicFramePr>
            <xdr:cNvPr id="41" name="Months (Date) 1">
              <a:extLst>
                <a:ext uri="{FF2B5EF4-FFF2-40B4-BE49-F238E27FC236}">
                  <a16:creationId xmlns:a16="http://schemas.microsoft.com/office/drawing/2014/main" id="{E9953B5A-9E32-4E4F-9EAD-02250932EFD4}"/>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0" y="3808420"/>
              <a:ext cx="1813698" cy="2709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559180</xdr:colOff>
      <xdr:row>23</xdr:row>
      <xdr:rowOff>2</xdr:rowOff>
    </xdr:from>
    <xdr:to>
      <xdr:col>5</xdr:col>
      <xdr:colOff>549228</xdr:colOff>
      <xdr:row>32</xdr:row>
      <xdr:rowOff>38879</xdr:rowOff>
    </xdr:to>
    <mc:AlternateContent xmlns:mc="http://schemas.openxmlformats.org/markup-compatibility/2006" xmlns:a14="http://schemas.microsoft.com/office/drawing/2010/main">
      <mc:Choice Requires="a14">
        <xdr:graphicFrame macro="">
          <xdr:nvGraphicFramePr>
            <xdr:cNvPr id="45" name="Years (Date) 1">
              <a:extLst>
                <a:ext uri="{FF2B5EF4-FFF2-40B4-BE49-F238E27FC236}">
                  <a16:creationId xmlns:a16="http://schemas.microsoft.com/office/drawing/2014/main" id="{EB8D2E28-BE5F-40FF-8A7A-1B0F5544118A}"/>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776263" y="4259794"/>
              <a:ext cx="1815673" cy="17057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47388</xdr:rowOff>
    </xdr:from>
    <xdr:to>
      <xdr:col>2</xdr:col>
      <xdr:colOff>596617</xdr:colOff>
      <xdr:row>20</xdr:row>
      <xdr:rowOff>47388</xdr:rowOff>
    </xdr:to>
    <mc:AlternateContent xmlns:mc="http://schemas.openxmlformats.org/markup-compatibility/2006" xmlns:a14="http://schemas.microsoft.com/office/drawing/2010/main">
      <mc:Choice Requires="a14">
        <xdr:graphicFrame macro="">
          <xdr:nvGraphicFramePr>
            <xdr:cNvPr id="55" name="sheet4.Store Region 1">
              <a:extLst>
                <a:ext uri="{FF2B5EF4-FFF2-40B4-BE49-F238E27FC236}">
                  <a16:creationId xmlns:a16="http://schemas.microsoft.com/office/drawing/2014/main" id="{D759C383-4787-4BD5-B41A-C80CB7AAACF7}"/>
                </a:ext>
              </a:extLst>
            </xdr:cNvPr>
            <xdr:cNvGraphicFramePr/>
          </xdr:nvGraphicFramePr>
          <xdr:xfrm>
            <a:off x="0" y="0"/>
            <a:ext cx="0" cy="0"/>
          </xdr:xfrm>
          <a:graphic>
            <a:graphicData uri="http://schemas.microsoft.com/office/drawing/2010/slicer">
              <sle:slicer xmlns:sle="http://schemas.microsoft.com/office/drawing/2010/slicer" name="sheet4.Store Region 1"/>
            </a:graphicData>
          </a:graphic>
        </xdr:graphicFrame>
      </mc:Choice>
      <mc:Fallback xmlns="">
        <xdr:sp macro="" textlink="">
          <xdr:nvSpPr>
            <xdr:cNvPr id="0" name=""/>
            <xdr:cNvSpPr>
              <a:spLocks noTextEdit="1"/>
            </xdr:cNvSpPr>
          </xdr:nvSpPr>
          <xdr:spPr>
            <a:xfrm>
              <a:off x="0" y="1899471"/>
              <a:ext cx="1813700" cy="1852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8511</xdr:colOff>
      <xdr:row>33</xdr:row>
      <xdr:rowOff>9090</xdr:rowOff>
    </xdr:from>
    <xdr:to>
      <xdr:col>6</xdr:col>
      <xdr:colOff>23251</xdr:colOff>
      <xdr:row>42</xdr:row>
      <xdr:rowOff>67310</xdr:rowOff>
    </xdr:to>
    <mc:AlternateContent xmlns:mc="http://schemas.openxmlformats.org/markup-compatibility/2006" xmlns:a14="http://schemas.microsoft.com/office/drawing/2010/main">
      <mc:Choice Requires="a14">
        <xdr:graphicFrame macro="">
          <xdr:nvGraphicFramePr>
            <xdr:cNvPr id="60" name="sheet3.Cust Region 1">
              <a:extLst>
                <a:ext uri="{FF2B5EF4-FFF2-40B4-BE49-F238E27FC236}">
                  <a16:creationId xmlns:a16="http://schemas.microsoft.com/office/drawing/2014/main" id="{105AA6DF-5AF0-402C-A4ED-6D0B5CBD88F8}"/>
                </a:ext>
              </a:extLst>
            </xdr:cNvPr>
            <xdr:cNvGraphicFramePr/>
          </xdr:nvGraphicFramePr>
          <xdr:xfrm>
            <a:off x="0" y="0"/>
            <a:ext cx="0" cy="0"/>
          </xdr:xfrm>
          <a:graphic>
            <a:graphicData uri="http://schemas.microsoft.com/office/drawing/2010/slicer">
              <sle:slicer xmlns:sle="http://schemas.microsoft.com/office/drawing/2010/slicer" name="sheet3.Cust Region 1"/>
            </a:graphicData>
          </a:graphic>
        </xdr:graphicFrame>
      </mc:Choice>
      <mc:Fallback xmlns="">
        <xdr:sp macro="" textlink="">
          <xdr:nvSpPr>
            <xdr:cNvPr id="0" name=""/>
            <xdr:cNvSpPr>
              <a:spLocks noTextEdit="1"/>
            </xdr:cNvSpPr>
          </xdr:nvSpPr>
          <xdr:spPr>
            <a:xfrm>
              <a:off x="1834136" y="6120965"/>
              <a:ext cx="1840365" cy="1725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97292</xdr:rowOff>
    </xdr:from>
    <xdr:to>
      <xdr:col>3</xdr:col>
      <xdr:colOff>14744</xdr:colOff>
      <xdr:row>46</xdr:row>
      <xdr:rowOff>135202</xdr:rowOff>
    </xdr:to>
    <mc:AlternateContent xmlns:mc="http://schemas.openxmlformats.org/markup-compatibility/2006" xmlns:a14="http://schemas.microsoft.com/office/drawing/2010/main">
      <mc:Choice Requires="a14">
        <xdr:graphicFrame macro="">
          <xdr:nvGraphicFramePr>
            <xdr:cNvPr id="62" name="Quarters (Date) 1">
              <a:extLst>
                <a:ext uri="{FF2B5EF4-FFF2-40B4-BE49-F238E27FC236}">
                  <a16:creationId xmlns:a16="http://schemas.microsoft.com/office/drawing/2014/main" id="{5F749338-C657-4D9D-A845-4D9AB4BA01AB}"/>
                </a:ext>
              </a:extLst>
            </xdr:cNvPr>
            <xdr:cNvGraphicFramePr/>
          </xdr:nvGraphicFramePr>
          <xdr:xfrm>
            <a:off x="0" y="0"/>
            <a:ext cx="0" cy="0"/>
          </xdr:xfrm>
          <a:graphic>
            <a:graphicData uri="http://schemas.microsoft.com/office/drawing/2010/slicer">
              <sle:slicer xmlns:sle="http://schemas.microsoft.com/office/drawing/2010/slicer" name="Quarters (Date) 1"/>
            </a:graphicData>
          </a:graphic>
        </xdr:graphicFrame>
      </mc:Choice>
      <mc:Fallback xmlns="">
        <xdr:sp macro="" textlink="">
          <xdr:nvSpPr>
            <xdr:cNvPr id="0" name=""/>
            <xdr:cNvSpPr>
              <a:spLocks noTextEdit="1"/>
            </xdr:cNvSpPr>
          </xdr:nvSpPr>
          <xdr:spPr>
            <a:xfrm>
              <a:off x="0" y="6764792"/>
              <a:ext cx="1840369" cy="1889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64796</xdr:colOff>
      <xdr:row>10</xdr:row>
      <xdr:rowOff>11339</xdr:rowOff>
    </xdr:from>
    <xdr:to>
      <xdr:col>13</xdr:col>
      <xdr:colOff>155510</xdr:colOff>
      <xdr:row>23</xdr:row>
      <xdr:rowOff>12959</xdr:rowOff>
    </xdr:to>
    <xdr:graphicFrame macro="">
      <xdr:nvGraphicFramePr>
        <xdr:cNvPr id="64" name="Chart 63">
          <a:extLst>
            <a:ext uri="{FF2B5EF4-FFF2-40B4-BE49-F238E27FC236}">
              <a16:creationId xmlns:a16="http://schemas.microsoft.com/office/drawing/2014/main" id="{B509C09C-CFFC-4A3C-813F-8E1BAC883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wsDr>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da" refreshedDate="46022.014278587965" backgroundQuery="1" createdVersion="8" refreshedVersion="8" minRefreshableVersion="3" recordCount="0" supportSubquery="1" supportAdvancedDrill="1" xr:uid="{BA7D7560-5269-4A5D-B96A-02C678632E01}">
  <cacheSource type="external" connectionId="8"/>
  <cacheFields count="0"/>
  <cacheHierarchies count="29">
    <cacheHierarchy uniqueName="[sheet9].[Order Number]" caption="Order Number" attribute="1" defaultMemberUniqueName="[sheet9].[Order Number].[All]" allUniqueName="[sheet9].[Order Number].[All]" dimensionUniqueName="[sheet9]" displayFolder="" count="0" memberValueDatatype="20" unbalanced="0"/>
    <cacheHierarchy uniqueName="[sheet9].[Date]" caption="Date" attribute="1" time="1" defaultMemberUniqueName="[sheet9].[Date].[All]" allUniqueName="[sheet9].[Date].[All]" dimensionUniqueName="[sheet9]" displayFolder="" count="0" memberValueDatatype="7" unbalanced="0"/>
    <cacheHierarchy uniqueName="[sheet9].[Quantity]" caption="Quantity" attribute="1" defaultMemberUniqueName="[sheet9].[Quantity].[All]" allUniqueName="[sheet9].[Quantity].[All]" dimensionUniqueName="[sheet9]" displayFolder="" count="0" memberValueDatatype="20" unbalanced="0"/>
    <cacheHierarchy uniqueName="[sheet9].[Cost]" caption="Cost" attribute="1" defaultMemberUniqueName="[sheet9].[Cost].[All]" allUniqueName="[sheet9].[Cost].[All]" dimensionUniqueName="[sheet9]" displayFolder="" count="0" memberValueDatatype="5" unbalanced="0"/>
    <cacheHierarchy uniqueName="[sheet9].[Price]" caption="Price" attribute="1" defaultMemberUniqueName="[sheet9].[Price].[All]" allUniqueName="[sheet9].[Price].[All]" dimensionUniqueName="[sheet9]" displayFolder="" count="0" memberValueDatatype="5" unbalanced="0"/>
    <cacheHierarchy uniqueName="[sheet9].[Store Key]" caption="Store Key" attribute="1" defaultMemberUniqueName="[sheet9].[Store Key].[All]" allUniqueName="[sheet9].[Store Key].[All]" dimensionUniqueName="[sheet9]" displayFolder="" count="0" memberValueDatatype="20" unbalanced="0"/>
    <cacheHierarchy uniqueName="[sheet9].[Cust Key]" caption="Cust Key" attribute="1" defaultMemberUniqueName="[sheet9].[Cust Key].[All]" allUniqueName="[sheet9].[Cust Key].[All]" dimensionUniqueName="[sheet9]" displayFolder="" count="0" memberValueDatatype="20" unbalanced="0"/>
    <cacheHierarchy uniqueName="[sheet9].[sheet8.Product Key]" caption="sheet8.Product Key" attribute="1" defaultMemberUniqueName="[sheet9].[sheet8.Product Key].[All]" allUniqueName="[sheet9].[sheet8.Product Key].[All]" dimensionUniqueName="[sheet9]" displayFolder="" count="0" memberValueDatatype="20" unbalanced="0"/>
    <cacheHierarchy uniqueName="[sheet9].[sheet8.Sales Amount]" caption="sheet8.Sales Amount" attribute="1" defaultMemberUniqueName="[sheet9].[sheet8.Sales Amount].[All]" allUniqueName="[sheet9].[sheet8.Sales Amount].[All]" dimensionUniqueName="[sheet9]" displayFolder="" count="0" memberValueDatatype="5" unbalanced="0"/>
    <cacheHierarchy uniqueName="[sheet9].[sheet8.Cost Amount]" caption="sheet8.Cost Amount" attribute="1" defaultMemberUniqueName="[sheet9].[sheet8.Cost Amount].[All]" allUniqueName="[sheet9].[sheet8.Cost Amount].[All]" dimensionUniqueName="[sheet9]" displayFolder="" count="0" memberValueDatatype="5" unbalanced="0"/>
    <cacheHierarchy uniqueName="[sheet9].[sheet6.Product Name]" caption="sheet6.Product Name" attribute="1" defaultMemberUniqueName="[sheet9].[sheet6.Product Name].[All]" allUniqueName="[sheet9].[sheet6.Product Name].[All]" dimensionUniqueName="[sheet9]" displayFolder="" count="0" memberValueDatatype="130" unbalanced="0"/>
    <cacheHierarchy uniqueName="[sheet9].[sheet6.Product Type]" caption="sheet6.Product Type" attribute="1" defaultMemberUniqueName="[sheet9].[sheet6.Product Type].[All]" allUniqueName="[sheet9].[sheet6.Product Type].[All]" dimensionUniqueName="[sheet9]" displayFolder="" count="0" memberValueDatatype="130" unbalanced="0"/>
    <cacheHierarchy uniqueName="[sheet9].[sheet6.Quantity on Hand]" caption="sheet6.Quantity on Hand" attribute="1" defaultMemberUniqueName="[sheet9].[sheet6.Quantity on Hand].[All]" allUniqueName="[sheet9].[sheet6.Quantity on Hand].[All]" dimensionUniqueName="[sheet9]" displayFolder="" count="0" memberValueDatatype="20" unbalanced="0"/>
    <cacheHierarchy uniqueName="[sheet9].[sheet4.Store Name]" caption="sheet4.Store Name" attribute="1" defaultMemberUniqueName="[sheet9].[sheet4.Store Name].[All]" allUniqueName="[sheet9].[sheet4.Store Name].[All]" dimensionUniqueName="[sheet9]" displayFolder="" count="0" memberValueDatatype="130" unbalanced="0"/>
    <cacheHierarchy uniqueName="[sheet9].[sheet4.Store Address]" caption="sheet4.Store Address" attribute="1" defaultMemberUniqueName="[sheet9].[sheet4.Store Address].[All]" allUniqueName="[sheet9].[sheet4.Store Address].[All]" dimensionUniqueName="[sheet9]" displayFolder="" count="0" memberValueDatatype="130" unbalanced="0"/>
    <cacheHierarchy uniqueName="[sheet9].[sheet4.Store Region]" caption="sheet4.Store Region" attribute="1" defaultMemberUniqueName="[sheet9].[sheet4.Store Region].[All]" allUniqueName="[sheet9].[sheet4.Store Region].[All]" dimensionUniqueName="[sheet9]" displayFolder="" count="0" memberValueDatatype="130" unbalanced="0"/>
    <cacheHierarchy uniqueName="[sheet9].[sheet3.Cust Region]" caption="sheet3.Cust Region" attribute="1" defaultMemberUniqueName="[sheet9].[sheet3.Cust Region].[All]" allUniqueName="[sheet9].[sheet3.Cust Region].[All]" dimensionUniqueName="[sheet9]" displayFolder="" count="0" memberValueDatatype="130" unbalanced="0"/>
    <cacheHierarchy uniqueName="[sheet9].[inventory value]" caption="inventory value" attribute="1" defaultMemberUniqueName="[sheet9].[inventory value].[All]" allUniqueName="[sheet9].[inventory value].[All]" dimensionUniqueName="[sheet9]" displayFolder="" count="0" memberValueDatatype="5" unbalanced="0"/>
    <cacheHierarchy uniqueName="[sheet9].[inventory value2]" caption="inventory value2" attribute="1" defaultMemberUniqueName="[sheet9].[inventory value2].[All]" allUniqueName="[sheet9].[inventory value2].[All]" dimensionUniqueName="[sheet9]" displayFolder="" count="0" memberValueDatatype="5" unbalanced="0"/>
    <cacheHierarchy uniqueName="[sheet9].[gross profit]" caption="gross profit" attribute="1" defaultMemberUniqueName="[sheet9].[gross profit].[All]" allUniqueName="[sheet9].[gross profit].[All]" dimensionUniqueName="[sheet9]" displayFolder="" count="0" memberValueDatatype="5" unbalanced="0"/>
    <cacheHierarchy uniqueName="[Measures].[__XL_Count sheet9]" caption="__XL_Count sheet9" measure="1" displayFolder="" measureGroup="sheet9" count="0" hidden="1"/>
    <cacheHierarchy uniqueName="[Measures].[__No measures defined]" caption="__No measures defined" measure="1" displayFolder="" count="0" hidden="1"/>
    <cacheHierarchy uniqueName="[Measures].[Sum of sheet6.Quantity on Hand]" caption="Sum of sheet6.Quantity on Hand" measure="1" displayFolder="" measureGroup="sheet9" count="0" hidden="1">
      <extLst>
        <ext xmlns:x15="http://schemas.microsoft.com/office/spreadsheetml/2010/11/main" uri="{B97F6D7D-B522-45F9-BDA1-12C45D357490}">
          <x15:cacheHierarchy aggregatedColumn="12"/>
        </ext>
      </extLst>
    </cacheHierarchy>
    <cacheHierarchy uniqueName="[Measures].[Sum of sheet8.Sales Amount]" caption="Sum of sheet8.Sales Amount" measure="1" displayFolder="" measureGroup="sheet9" count="0" hidden="1">
      <extLst>
        <ext xmlns:x15="http://schemas.microsoft.com/office/spreadsheetml/2010/11/main" uri="{B97F6D7D-B522-45F9-BDA1-12C45D357490}">
          <x15:cacheHierarchy aggregatedColumn="8"/>
        </ext>
      </extLst>
    </cacheHierarchy>
    <cacheHierarchy uniqueName="[Measures].[Sum of sheet8.Cost Amount]" caption="Sum of sheet8.Cost Amount" measure="1" displayFolder="" measureGroup="sheet9" count="0" hidden="1">
      <extLst>
        <ext xmlns:x15="http://schemas.microsoft.com/office/spreadsheetml/2010/11/main" uri="{B97F6D7D-B522-45F9-BDA1-12C45D357490}">
          <x15:cacheHierarchy aggregatedColumn="9"/>
        </ext>
      </extLst>
    </cacheHierarchy>
    <cacheHierarchy uniqueName="[Measures].[Sum of Order Number]" caption="Sum of Order Number" measure="1" displayFolder="" measureGroup="sheet9" count="0" hidden="1">
      <extLst>
        <ext xmlns:x15="http://schemas.microsoft.com/office/spreadsheetml/2010/11/main" uri="{B97F6D7D-B522-45F9-BDA1-12C45D357490}">
          <x15:cacheHierarchy aggregatedColumn="0"/>
        </ext>
      </extLst>
    </cacheHierarchy>
    <cacheHierarchy uniqueName="[Measures].[Count of Order Number]" caption="Count of Order Number" measure="1" displayFolder="" measureGroup="sheet9" count="0" hidden="1">
      <extLst>
        <ext xmlns:x15="http://schemas.microsoft.com/office/spreadsheetml/2010/11/main" uri="{B97F6D7D-B522-45F9-BDA1-12C45D357490}">
          <x15:cacheHierarchy aggregatedColumn="0"/>
        </ext>
      </extLst>
    </cacheHierarchy>
    <cacheHierarchy uniqueName="[Measures].[Sum of inventory value2]" caption="Sum of inventory value2" measure="1" displayFolder="" measureGroup="sheet9" count="0" hidden="1">
      <extLst>
        <ext xmlns:x15="http://schemas.microsoft.com/office/spreadsheetml/2010/11/main" uri="{B97F6D7D-B522-45F9-BDA1-12C45D357490}">
          <x15:cacheHierarchy aggregatedColumn="18"/>
        </ext>
      </extLst>
    </cacheHierarchy>
    <cacheHierarchy uniqueName="[Measures].[Sum of gross profit]" caption="Sum of gross profit" measure="1" displayFolder="" measureGroup="sheet9"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sheet9" uniqueName="[sheet9]" caption="sheet9"/>
  </dimensions>
  <measureGroups count="1">
    <measureGroup name="sheet9" caption="sheet9"/>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da" refreshedDate="46022.664371180559" backgroundQuery="1" createdVersion="8" refreshedVersion="8" minRefreshableVersion="3" recordCount="0" supportSubquery="1" supportAdvancedDrill="1" xr:uid="{09823429-603C-40C5-9091-CFEE1DD6F572}">
  <cacheSource type="external" connectionId="8"/>
  <cacheFields count="2">
    <cacheField name="[sheet9].[sheet4.Store Region].[sheet4.Store Region]" caption="sheet4.Store Region" numFmtId="0" hierarchy="15" level="1">
      <sharedItems count="5">
        <s v="East"/>
        <s v="Midwest"/>
        <s v="South"/>
        <s v="Southwest"/>
        <s v="West"/>
      </sharedItems>
    </cacheField>
    <cacheField name="[Measures].[Sum of gross profit]" caption="Sum of gross profit" numFmtId="0" hierarchy="28" level="32767"/>
  </cacheFields>
  <cacheHierarchies count="29">
    <cacheHierarchy uniqueName="[sheet9].[Order Number]" caption="Order Number" attribute="1" defaultMemberUniqueName="[sheet9].[Order Number].[All]" allUniqueName="[sheet9].[Order Number].[All]" dimensionUniqueName="[sheet9]" displayFolder="" count="0" memberValueDatatype="20" unbalanced="0"/>
    <cacheHierarchy uniqueName="[sheet9].[Date]" caption="Date" attribute="1" time="1" defaultMemberUniqueName="[sheet9].[Date].[All]" allUniqueName="[sheet9].[Date].[All]" dimensionUniqueName="[sheet9]" displayFolder="" count="0" memberValueDatatype="7" unbalanced="0"/>
    <cacheHierarchy uniqueName="[sheet9].[Quantity]" caption="Quantity" attribute="1" defaultMemberUniqueName="[sheet9].[Quantity].[All]" allUniqueName="[sheet9].[Quantity].[All]" dimensionUniqueName="[sheet9]" displayFolder="" count="0" memberValueDatatype="20" unbalanced="0"/>
    <cacheHierarchy uniqueName="[sheet9].[Cost]" caption="Cost" attribute="1" defaultMemberUniqueName="[sheet9].[Cost].[All]" allUniqueName="[sheet9].[Cost].[All]" dimensionUniqueName="[sheet9]" displayFolder="" count="0" memberValueDatatype="5" unbalanced="0"/>
    <cacheHierarchy uniqueName="[sheet9].[Price]" caption="Price" attribute="1" defaultMemberUniqueName="[sheet9].[Price].[All]" allUniqueName="[sheet9].[Price].[All]" dimensionUniqueName="[sheet9]" displayFolder="" count="0" memberValueDatatype="5" unbalanced="0"/>
    <cacheHierarchy uniqueName="[sheet9].[Store Key]" caption="Store Key" attribute="1" defaultMemberUniqueName="[sheet9].[Store Key].[All]" allUniqueName="[sheet9].[Store Key].[All]" dimensionUniqueName="[sheet9]" displayFolder="" count="0" memberValueDatatype="20" unbalanced="0"/>
    <cacheHierarchy uniqueName="[sheet9].[Cust Key]" caption="Cust Key" attribute="1" defaultMemberUniqueName="[sheet9].[Cust Key].[All]" allUniqueName="[sheet9].[Cust Key].[All]" dimensionUniqueName="[sheet9]" displayFolder="" count="0" memberValueDatatype="20" unbalanced="0"/>
    <cacheHierarchy uniqueName="[sheet9].[sheet8.Product Key]" caption="sheet8.Product Key" attribute="1" defaultMemberUniqueName="[sheet9].[sheet8.Product Key].[All]" allUniqueName="[sheet9].[sheet8.Product Key].[All]" dimensionUniqueName="[sheet9]" displayFolder="" count="0" memberValueDatatype="20" unbalanced="0"/>
    <cacheHierarchy uniqueName="[sheet9].[sheet8.Sales Amount]" caption="sheet8.Sales Amount" attribute="1" defaultMemberUniqueName="[sheet9].[sheet8.Sales Amount].[All]" allUniqueName="[sheet9].[sheet8.Sales Amount].[All]" dimensionUniqueName="[sheet9]" displayFolder="" count="0" memberValueDatatype="5" unbalanced="0"/>
    <cacheHierarchy uniqueName="[sheet9].[sheet8.Cost Amount]" caption="sheet8.Cost Amount" attribute="1" defaultMemberUniqueName="[sheet9].[sheet8.Cost Amount].[All]" allUniqueName="[sheet9].[sheet8.Cost Amount].[All]" dimensionUniqueName="[sheet9]" displayFolder="" count="0" memberValueDatatype="5" unbalanced="0"/>
    <cacheHierarchy uniqueName="[sheet9].[sheet6.Product Name]" caption="sheet6.Product Name" attribute="1" defaultMemberUniqueName="[sheet9].[sheet6.Product Name].[All]" allUniqueName="[sheet9].[sheet6.Product Name].[All]" dimensionUniqueName="[sheet9]" displayFolder="" count="0" memberValueDatatype="130" unbalanced="0"/>
    <cacheHierarchy uniqueName="[sheet9].[sheet6.Product Type]" caption="sheet6.Product Type" attribute="1" defaultMemberUniqueName="[sheet9].[sheet6.Product Type].[All]" allUniqueName="[sheet9].[sheet6.Product Type].[All]" dimensionUniqueName="[sheet9]" displayFolder="" count="0" memberValueDatatype="130" unbalanced="0"/>
    <cacheHierarchy uniqueName="[sheet9].[sheet6.Quantity on Hand]" caption="sheet6.Quantity on Hand" attribute="1" defaultMemberUniqueName="[sheet9].[sheet6.Quantity on Hand].[All]" allUniqueName="[sheet9].[sheet6.Quantity on Hand].[All]" dimensionUniqueName="[sheet9]" displayFolder="" count="0" memberValueDatatype="20" unbalanced="0"/>
    <cacheHierarchy uniqueName="[sheet9].[sheet4.Store Name]" caption="sheet4.Store Name" attribute="1" defaultMemberUniqueName="[sheet9].[sheet4.Store Name].[All]" allUniqueName="[sheet9].[sheet4.Store Name].[All]" dimensionUniqueName="[sheet9]" displayFolder="" count="0" memberValueDatatype="130" unbalanced="0"/>
    <cacheHierarchy uniqueName="[sheet9].[sheet4.Store Address]" caption="sheet4.Store Address" attribute="1" defaultMemberUniqueName="[sheet9].[sheet4.Store Address].[All]" allUniqueName="[sheet9].[sheet4.Store Address].[All]" dimensionUniqueName="[sheet9]" displayFolder="" count="0" memberValueDatatype="130" unbalanced="0"/>
    <cacheHierarchy uniqueName="[sheet9].[sheet4.Store Region]" caption="sheet4.Store Region" attribute="1" defaultMemberUniqueName="[sheet9].[sheet4.Store Region].[All]" allUniqueName="[sheet9].[sheet4.Store Region].[All]" dimensionUniqueName="[sheet9]" displayFolder="" count="2" memberValueDatatype="130" unbalanced="0">
      <fieldsUsage count="2">
        <fieldUsage x="-1"/>
        <fieldUsage x="0"/>
      </fieldsUsage>
    </cacheHierarchy>
    <cacheHierarchy uniqueName="[sheet9].[sheet3.Cust Region]" caption="sheet3.Cust Region" attribute="1" defaultMemberUniqueName="[sheet9].[sheet3.Cust Region].[All]" allUniqueName="[sheet9].[sheet3.Cust Region].[All]" dimensionUniqueName="[sheet9]" displayFolder="" count="0" memberValueDatatype="130" unbalanced="0"/>
    <cacheHierarchy uniqueName="[sheet9].[inventory value]" caption="inventory value" attribute="1" defaultMemberUniqueName="[sheet9].[inventory value].[All]" allUniqueName="[sheet9].[inventory value].[All]" dimensionUniqueName="[sheet9]" displayFolder="" count="0" memberValueDatatype="5" unbalanced="0"/>
    <cacheHierarchy uniqueName="[sheet9].[inventory value2]" caption="inventory value2" attribute="1" defaultMemberUniqueName="[sheet9].[inventory value2].[All]" allUniqueName="[sheet9].[inventory value2].[All]" dimensionUniqueName="[sheet9]" displayFolder="" count="0" memberValueDatatype="5" unbalanced="0"/>
    <cacheHierarchy uniqueName="[sheet9].[gross profit]" caption="gross profit" attribute="1" defaultMemberUniqueName="[sheet9].[gross profit].[All]" allUniqueName="[sheet9].[gross profit].[All]" dimensionUniqueName="[sheet9]" displayFolder="" count="0" memberValueDatatype="5" unbalanced="0"/>
    <cacheHierarchy uniqueName="[Measures].[__XL_Count sheet9]" caption="__XL_Count sheet9" measure="1" displayFolder="" measureGroup="sheet9" count="0" hidden="1"/>
    <cacheHierarchy uniqueName="[Measures].[__No measures defined]" caption="__No measures defined" measure="1" displayFolder="" count="0" hidden="1"/>
    <cacheHierarchy uniqueName="[Measures].[Sum of sheet6.Quantity on Hand]" caption="Sum of sheet6.Quantity on Hand" measure="1" displayFolder="" measureGroup="sheet9" count="0" hidden="1">
      <extLst>
        <ext xmlns:x15="http://schemas.microsoft.com/office/spreadsheetml/2010/11/main" uri="{B97F6D7D-B522-45F9-BDA1-12C45D357490}">
          <x15:cacheHierarchy aggregatedColumn="12"/>
        </ext>
      </extLst>
    </cacheHierarchy>
    <cacheHierarchy uniqueName="[Measures].[Sum of sheet8.Sales Amount]" caption="Sum of sheet8.Sales Amount" measure="1" displayFolder="" measureGroup="sheet9" count="0" hidden="1">
      <extLst>
        <ext xmlns:x15="http://schemas.microsoft.com/office/spreadsheetml/2010/11/main" uri="{B97F6D7D-B522-45F9-BDA1-12C45D357490}">
          <x15:cacheHierarchy aggregatedColumn="8"/>
        </ext>
      </extLst>
    </cacheHierarchy>
    <cacheHierarchy uniqueName="[Measures].[Sum of sheet8.Cost Amount]" caption="Sum of sheet8.Cost Amount" measure="1" displayFolder="" measureGroup="sheet9" count="0" hidden="1">
      <extLst>
        <ext xmlns:x15="http://schemas.microsoft.com/office/spreadsheetml/2010/11/main" uri="{B97F6D7D-B522-45F9-BDA1-12C45D357490}">
          <x15:cacheHierarchy aggregatedColumn="9"/>
        </ext>
      </extLst>
    </cacheHierarchy>
    <cacheHierarchy uniqueName="[Measures].[Sum of Order Number]" caption="Sum of Order Number" measure="1" displayFolder="" measureGroup="sheet9" count="0" hidden="1">
      <extLst>
        <ext xmlns:x15="http://schemas.microsoft.com/office/spreadsheetml/2010/11/main" uri="{B97F6D7D-B522-45F9-BDA1-12C45D357490}">
          <x15:cacheHierarchy aggregatedColumn="0"/>
        </ext>
      </extLst>
    </cacheHierarchy>
    <cacheHierarchy uniqueName="[Measures].[Count of Order Number]" caption="Count of Order Number" measure="1" displayFolder="" measureGroup="sheet9" count="0" hidden="1">
      <extLst>
        <ext xmlns:x15="http://schemas.microsoft.com/office/spreadsheetml/2010/11/main" uri="{B97F6D7D-B522-45F9-BDA1-12C45D357490}">
          <x15:cacheHierarchy aggregatedColumn="0"/>
        </ext>
      </extLst>
    </cacheHierarchy>
    <cacheHierarchy uniqueName="[Measures].[Sum of inventory value2]" caption="Sum of inventory value2" measure="1" displayFolder="" measureGroup="sheet9" count="0" hidden="1">
      <extLst>
        <ext xmlns:x15="http://schemas.microsoft.com/office/spreadsheetml/2010/11/main" uri="{B97F6D7D-B522-45F9-BDA1-12C45D357490}">
          <x15:cacheHierarchy aggregatedColumn="18"/>
        </ext>
      </extLst>
    </cacheHierarchy>
    <cacheHierarchy uniqueName="[Measures].[Sum of gross profit]" caption="Sum of gross profit" measure="1" displayFolder="" measureGroup="sheet9" count="0" oneField="1" hidden="1">
      <fieldsUsage count="1">
        <fieldUsage x="1"/>
      </fieldsUsage>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sheet9" uniqueName="[sheet9]" caption="sheet9"/>
  </dimensions>
  <measureGroups count="1">
    <measureGroup name="sheet9" caption="sheet9"/>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da" refreshedDate="46024.121305092594" backgroundQuery="1" createdVersion="8" refreshedVersion="8" minRefreshableVersion="3" recordCount="0" supportSubquery="1" supportAdvancedDrill="1" xr:uid="{2A6929F2-71BD-4A94-B6CC-80B5A88636BE}">
  <cacheSource type="external" connectionId="8"/>
  <cacheFields count="2">
    <cacheField name="[sheet9].[sheet6.Product Name].[sheet6.Product Name]" caption="sheet6.Product Name" numFmtId="0" hierarchy="10" level="1">
      <sharedItems count="110">
        <s v="1008-Brass Instrument Cleaning Tools"/>
        <s v="1018-Clarinet Cases &amp; Gigbags"/>
        <s v="1028-Craft &amp; Office Glue"/>
        <s v="1030-Craft Cutters &amp; Embossers"/>
        <s v="1047-Drum Pedals"/>
        <s v="104-Galaxy Note5 4G LTE with 32GB Memory Cell Phone   White Pearl (AT&amp;T)"/>
        <s v="1050-Electric Guitar Pickups"/>
        <s v="1053-Eyelets &amp; Grommets"/>
        <s v="1056-Felting Needles &amp; Machines"/>
        <s v="1059-Finger &amp; Hand Cymbals"/>
        <s v="1060-Floral Tape"/>
        <s v="1061-Floral Wire"/>
        <s v="1064-Flute Parts"/>
        <s v="1069-Guitar Cases &amp; Gig Bags"/>
        <s v="1075-Guitar Straps"/>
        <s v="1079-Hand Bells &amp; Chimes"/>
        <s v="1083-Hand Percussion Stands &amp; Mounts"/>
        <s v="1087-Harmonica Holders"/>
        <s v="1089-Hockey Fan Accessories"/>
        <s v="1095-Jewelry Findings"/>
        <s v="1096-Knitting Needles"/>
        <s v="118-iPhone 6s 16GB   Gold (AT&amp;T)"/>
        <s v="131-Galaxy S6 4G with 32GB Memory Cell Phone   White Pearl (AT&amp;T)"/>
        <s v="154-Character Support Stand for Pill Speakers   Pink"/>
        <s v="158-Stanmore Bluetooth Speaker   Black"/>
        <s v="159-420W Portable Party Speaker System with Apple® iPod® and iPhone® Dock   Black"/>
        <s v="163-CallJax 3.5mm Audio Cable   Black"/>
        <s v="171-PowerBlock Micro Wall Charger for Select Apple® Devices   White"/>
        <s v="176-SoundLink® Mini Bluetooth Speaker II   Carbon"/>
        <s v="182-Portable Bluetooth Stereo Speaker   Black"/>
        <s v="183-SoundLink® Portable Bluetooth Speaker III   Silver/Black"/>
        <s v="184-SoundLink® Mini Bluetooth Speaker II   Pearl"/>
        <s v="185-Bluetooth Audio Transmitter   White"/>
        <s v="186-Flip 3 Portable Bluetooth Speaker   Black"/>
        <s v="188-SoundLink® Color Bluetooth Speaker   Blue"/>
        <s v="190-Mini Life Jacket Bluetooth Speaker   Blue"/>
        <s v="200-Hangtime Wireless Bluetooth Speaker   Black"/>
        <s v="205-65&quot; Class (64.5&quot; Diag.)   LED   Curved"/>
        <s v="23-M Series   55&quot; Class (55&quot; Diag.)"/>
        <s v="261-21.5All In One"/>
        <s v="275-Gamer Ultra Desktop   AMD FX Series"/>
        <s v="290-21.5&quot; LED HD Monitor   Black"/>
        <s v="294-21.5&quot; LED HD Touch Screen Monitor   Black"/>
        <s v="304-Over the Ear Wireless Headphones"/>
        <s v="308-Tone Infinim Wireless Earbud Headphones   Metallic Silver"/>
        <s v="309-Tone Pro Bluetooth Headset   Black"/>
        <s v="318-Noise Canceling Over the"/>
        <s v="319-EX Earbud Headphones   White"/>
        <s v="320-ZX Series On Ear Headphones   White"/>
        <s v="321-Earbud Headphones   Black"/>
        <s v="322-Gumy Plus Earbud Headphones   Black"/>
        <s v="325-Uproar On Ear Headphones   Black"/>
        <s v="327-20' Headphone Extension Cable and Adapter Kit   Black"/>
        <s v="328-Ink'd 2 Earbud Headphones   Blue/Black"/>
        <s v="333-Step Up EX Series Earbud Headphones   Black"/>
        <s v="334-urBeats Earbud Headphones   Black"/>
        <s v="33-65&quot; Class (64.5&quot; Diag.)   LED   2160p"/>
        <s v="336-EX Series Earbud Headphones   Black"/>
        <s v="342-Gumy Earbud Headphones   White"/>
        <s v="345-Step Wireless Earbud Headphones   Black"/>
        <s v="346-Survivor AUX 4' Auxiliary Audio Cable   Blue"/>
        <s v="351-Geek Squad Certified Refurbished iPod nano® 16GB MP3 Player (8th Generation   Latest Model)   Space Gray"/>
        <s v="354-Geek Squad Certified Refurbished iPod touch® 16GB MP3 Player (6th Generation   Latest Model)   Gold"/>
        <s v="355-iPod nano® 16GB MP3 Player (8th Generation   Latest Model)   Gold"/>
        <s v="360-iPod nano® 16GB MP3 Player (8th Generation   Latest Model)   Space Gray"/>
        <s v="368-iPod touch® 64GB MP3 Player (6th Generation   Latest Model)   White/Silver"/>
        <s v="369-iPod shuffle® 2GB MP3 Player (6th Generation   Latest Model)   Gold"/>
        <s v="372-$15 iTunes Gift Card   Blue/Purple"/>
        <s v="377-iPod nano® 16GB MP3 Player (8th Generation   Latest Model)   Space Gray"/>
        <s v="378-iPod touch® 16GB MP3 Player (6th Generation   Latest Model)   Blue"/>
        <s v="37-AQUOS   70&quot; Class (69.5&quot; Diag.)   LED"/>
        <s v="380-iPod touch® 16GB MP3 Player (6th Generation   Latest Model)   Space Gray"/>
        <s v="381-iPod nano® 16GB MP3 Player (8th Generation   Latest Model)   Gold"/>
        <s v="384-iPod touch® 32GB MP3 Player (6th Generation   Latest Model)   Space Gray"/>
        <s v="385-iPod shuffle® 2GB MP3 Player (6th Generation   Latest Model)   White &amp; Silver"/>
        <s v="38-65&quot; Class (64.5&quot; Diag.)   LED   Curved"/>
        <s v="390-iPod nano® 16GB MP3 Player (8th Generation   Latest Model)   Silver"/>
        <s v="392-iPod touch® 16GB MP3 Player (6th Generation   Latest Model)   Silver"/>
        <s v="405-Flip 2 in 1 10.1Touch"/>
        <s v="424-ENVY x360 2 in 1 15.6Touch"/>
        <s v="444-Aspire 15.6&quot; Laptop   Intel Celeron   4GB Memory"/>
        <s v="4-50&quot; Class (49.5&quot; Diag.)   LED   2160p"/>
        <s v="462-65&quot; Class (64.5&quot; Diag.)   LED   Curved"/>
        <s v="470-43&quot; Class (42.5&quot; Diag.)   LED   1080p"/>
        <s v="501-EF 85mm f/1.8 USM Medium Telephoto Lens   Black"/>
        <s v="510-AF S DX NIKKOR 55 300mm f/4.5"/>
        <s v="52-Plus Portable Bluetooth Speaker   Gray"/>
        <s v="54-Protector Case for 5th Generation Apple® iPod® touch   Black"/>
        <s v="556-Sonnar T FE 55mm f/1.8 ZA Lens for Most Sony a7 Series Cameras   Black"/>
        <s v="57-4' Micro USB Charge and Sync Cable"/>
        <s v="603-Pixtor 64GB SDXC Class 10 UHS 1 Memory Card   Black/Red"/>
        <s v="61-Apple MFi Certified 4' Touch On LED Lightning Charge and Sync Cable"/>
        <s v="65-Survivor Slim Case for Apple® iPod® touch 5th Generation   Turquoise/Lemon"/>
        <s v="66-Plus Portable Bluetooth Speaker   Pink"/>
        <s v="68-KaZoo Case for 5th Generation Apple® iPod® touch   Black"/>
        <s v="703-MFC 8950DW Wireless Black and"/>
        <s v="739-Officejet Pro 8610 e All in"/>
        <s v="766-Coolpix S9900 16.0 Megapixel Digital Camera   Black"/>
        <s v="78-BOOM Wireless Bluetooth Speaker   Black"/>
        <s v="796-D5300 DSLR Camera (Body Only)   Black"/>
        <s v="8-55&quot; Class (54.6&quot; Diag.)   LED   Curved"/>
        <s v="870-iPhone 6s Plus 64GB   Silver (Sprint)"/>
        <s v="87-Bullfrogz Case for Apple® iPod® touch 5th Generation   Black/Green"/>
        <s v="890-iPhone 6s 128GB   Space Gray (Sprint)"/>
        <s v="89-Call Jax Plus 3.5mm Audio Cable   Black"/>
        <s v="93-Courier Clip Case for Apple® iPod® nano 7th Generation   Black"/>
        <s v="946-iPhone 6s 16GB   Gold (Verizon Wireless)"/>
        <s v="9-55&quot; Class (54.6&quot; Diag.)   LED   2160p"/>
        <s v="976-G4 Cell Phone   Deep Blue (Verizon Wireless)"/>
        <s v="986-Art Ink"/>
      </sharedItems>
    </cacheField>
    <cacheField name="[Measures].[Sum of inventory value2]" caption="Sum of inventory value2" numFmtId="0" hierarchy="27" level="32767"/>
  </cacheFields>
  <cacheHierarchies count="29">
    <cacheHierarchy uniqueName="[sheet9].[Order Number]" caption="Order Number" attribute="1" defaultMemberUniqueName="[sheet9].[Order Number].[All]" allUniqueName="[sheet9].[Order Number].[All]" dimensionUniqueName="[sheet9]" displayFolder="" count="0" memberValueDatatype="20" unbalanced="0"/>
    <cacheHierarchy uniqueName="[sheet9].[Date]" caption="Date" attribute="1" time="1" defaultMemberUniqueName="[sheet9].[Date].[All]" allUniqueName="[sheet9].[Date].[All]" dimensionUniqueName="[sheet9]" displayFolder="" count="0" memberValueDatatype="7" unbalanced="0"/>
    <cacheHierarchy uniqueName="[sheet9].[Quantity]" caption="Quantity" attribute="1" defaultMemberUniqueName="[sheet9].[Quantity].[All]" allUniqueName="[sheet9].[Quantity].[All]" dimensionUniqueName="[sheet9]" displayFolder="" count="0" memberValueDatatype="20" unbalanced="0"/>
    <cacheHierarchy uniqueName="[sheet9].[Cost]" caption="Cost" attribute="1" defaultMemberUniqueName="[sheet9].[Cost].[All]" allUniqueName="[sheet9].[Cost].[All]" dimensionUniqueName="[sheet9]" displayFolder="" count="0" memberValueDatatype="5" unbalanced="0"/>
    <cacheHierarchy uniqueName="[sheet9].[Price]" caption="Price" attribute="1" defaultMemberUniqueName="[sheet9].[Price].[All]" allUniqueName="[sheet9].[Price].[All]" dimensionUniqueName="[sheet9]" displayFolder="" count="0" memberValueDatatype="5" unbalanced="0"/>
    <cacheHierarchy uniqueName="[sheet9].[Store Key]" caption="Store Key" attribute="1" defaultMemberUniqueName="[sheet9].[Store Key].[All]" allUniqueName="[sheet9].[Store Key].[All]" dimensionUniqueName="[sheet9]" displayFolder="" count="0" memberValueDatatype="20" unbalanced="0"/>
    <cacheHierarchy uniqueName="[sheet9].[Cust Key]" caption="Cust Key" attribute="1" defaultMemberUniqueName="[sheet9].[Cust Key].[All]" allUniqueName="[sheet9].[Cust Key].[All]" dimensionUniqueName="[sheet9]" displayFolder="" count="0" memberValueDatatype="20" unbalanced="0"/>
    <cacheHierarchy uniqueName="[sheet9].[sheet8.Product Key]" caption="sheet8.Product Key" attribute="1" defaultMemberUniqueName="[sheet9].[sheet8.Product Key].[All]" allUniqueName="[sheet9].[sheet8.Product Key].[All]" dimensionUniqueName="[sheet9]" displayFolder="" count="0" memberValueDatatype="20" unbalanced="0"/>
    <cacheHierarchy uniqueName="[sheet9].[sheet8.Sales Amount]" caption="sheet8.Sales Amount" attribute="1" defaultMemberUniqueName="[sheet9].[sheet8.Sales Amount].[All]" allUniqueName="[sheet9].[sheet8.Sales Amount].[All]" dimensionUniqueName="[sheet9]" displayFolder="" count="0" memberValueDatatype="5" unbalanced="0"/>
    <cacheHierarchy uniqueName="[sheet9].[sheet8.Cost Amount]" caption="sheet8.Cost Amount" attribute="1" defaultMemberUniqueName="[sheet9].[sheet8.Cost Amount].[All]" allUniqueName="[sheet9].[sheet8.Cost Amount].[All]" dimensionUniqueName="[sheet9]" displayFolder="" count="0" memberValueDatatype="5" unbalanced="0"/>
    <cacheHierarchy uniqueName="[sheet9].[sheet6.Product Name]" caption="sheet6.Product Name" attribute="1" defaultMemberUniqueName="[sheet9].[sheet6.Product Name].[All]" allUniqueName="[sheet9].[sheet6.Product Name].[All]" dimensionUniqueName="[sheet9]" displayFolder="" count="2" memberValueDatatype="130" unbalanced="0">
      <fieldsUsage count="2">
        <fieldUsage x="-1"/>
        <fieldUsage x="0"/>
      </fieldsUsage>
    </cacheHierarchy>
    <cacheHierarchy uniqueName="[sheet9].[sheet6.Product Type]" caption="sheet6.Product Type" attribute="1" defaultMemberUniqueName="[sheet9].[sheet6.Product Type].[All]" allUniqueName="[sheet9].[sheet6.Product Type].[All]" dimensionUniqueName="[sheet9]" displayFolder="" count="0" memberValueDatatype="130" unbalanced="0"/>
    <cacheHierarchy uniqueName="[sheet9].[sheet6.Quantity on Hand]" caption="sheet6.Quantity on Hand" attribute="1" defaultMemberUniqueName="[sheet9].[sheet6.Quantity on Hand].[All]" allUniqueName="[sheet9].[sheet6.Quantity on Hand].[All]" dimensionUniqueName="[sheet9]" displayFolder="" count="0" memberValueDatatype="20" unbalanced="0"/>
    <cacheHierarchy uniqueName="[sheet9].[sheet4.Store Name]" caption="sheet4.Store Name" attribute="1" defaultMemberUniqueName="[sheet9].[sheet4.Store Name].[All]" allUniqueName="[sheet9].[sheet4.Store Name].[All]" dimensionUniqueName="[sheet9]" displayFolder="" count="0" memberValueDatatype="130" unbalanced="0"/>
    <cacheHierarchy uniqueName="[sheet9].[sheet4.Store Address]" caption="sheet4.Store Address" attribute="1" defaultMemberUniqueName="[sheet9].[sheet4.Store Address].[All]" allUniqueName="[sheet9].[sheet4.Store Address].[All]" dimensionUniqueName="[sheet9]" displayFolder="" count="0" memberValueDatatype="130" unbalanced="0"/>
    <cacheHierarchy uniqueName="[sheet9].[sheet4.Store Region]" caption="sheet4.Store Region" attribute="1" defaultMemberUniqueName="[sheet9].[sheet4.Store Region].[All]" allUniqueName="[sheet9].[sheet4.Store Region].[All]" dimensionUniqueName="[sheet9]" displayFolder="" count="0" memberValueDatatype="130" unbalanced="0"/>
    <cacheHierarchy uniqueName="[sheet9].[sheet3.Cust Region]" caption="sheet3.Cust Region" attribute="1" defaultMemberUniqueName="[sheet9].[sheet3.Cust Region].[All]" allUniqueName="[sheet9].[sheet3.Cust Region].[All]" dimensionUniqueName="[sheet9]" displayFolder="" count="0" memberValueDatatype="130" unbalanced="0"/>
    <cacheHierarchy uniqueName="[sheet9].[inventory value]" caption="inventory value" attribute="1" defaultMemberUniqueName="[sheet9].[inventory value].[All]" allUniqueName="[sheet9].[inventory value].[All]" dimensionUniqueName="[sheet9]" displayFolder="" count="0" memberValueDatatype="5" unbalanced="0"/>
    <cacheHierarchy uniqueName="[sheet9].[inventory value2]" caption="inventory value2" attribute="1" defaultMemberUniqueName="[sheet9].[inventory value2].[All]" allUniqueName="[sheet9].[inventory value2].[All]" dimensionUniqueName="[sheet9]" displayFolder="" count="0" memberValueDatatype="5" unbalanced="0"/>
    <cacheHierarchy uniqueName="[sheet9].[gross profit]" caption="gross profit" attribute="1" defaultMemberUniqueName="[sheet9].[gross profit].[All]" allUniqueName="[sheet9].[gross profit].[All]" dimensionUniqueName="[sheet9]" displayFolder="" count="0" memberValueDatatype="5" unbalanced="0"/>
    <cacheHierarchy uniqueName="[Measures].[__XL_Count sheet9]" caption="__XL_Count sheet9" measure="1" displayFolder="" measureGroup="sheet9" count="0" hidden="1"/>
    <cacheHierarchy uniqueName="[Measures].[__No measures defined]" caption="__No measures defined" measure="1" displayFolder="" count="0" hidden="1"/>
    <cacheHierarchy uniqueName="[Measures].[Sum of sheet6.Quantity on Hand]" caption="Sum of sheet6.Quantity on Hand" measure="1" displayFolder="" measureGroup="sheet9" count="0" hidden="1">
      <extLst>
        <ext xmlns:x15="http://schemas.microsoft.com/office/spreadsheetml/2010/11/main" uri="{B97F6D7D-B522-45F9-BDA1-12C45D357490}">
          <x15:cacheHierarchy aggregatedColumn="12"/>
        </ext>
      </extLst>
    </cacheHierarchy>
    <cacheHierarchy uniqueName="[Measures].[Sum of sheet8.Sales Amount]" caption="Sum of sheet8.Sales Amount" measure="1" displayFolder="" measureGroup="sheet9" count="0" hidden="1">
      <extLst>
        <ext xmlns:x15="http://schemas.microsoft.com/office/spreadsheetml/2010/11/main" uri="{B97F6D7D-B522-45F9-BDA1-12C45D357490}">
          <x15:cacheHierarchy aggregatedColumn="8"/>
        </ext>
      </extLst>
    </cacheHierarchy>
    <cacheHierarchy uniqueName="[Measures].[Sum of sheet8.Cost Amount]" caption="Sum of sheet8.Cost Amount" measure="1" displayFolder="" measureGroup="sheet9" count="0" hidden="1">
      <extLst>
        <ext xmlns:x15="http://schemas.microsoft.com/office/spreadsheetml/2010/11/main" uri="{B97F6D7D-B522-45F9-BDA1-12C45D357490}">
          <x15:cacheHierarchy aggregatedColumn="9"/>
        </ext>
      </extLst>
    </cacheHierarchy>
    <cacheHierarchy uniqueName="[Measures].[Sum of Order Number]" caption="Sum of Order Number" measure="1" displayFolder="" measureGroup="sheet9" count="0" hidden="1">
      <extLst>
        <ext xmlns:x15="http://schemas.microsoft.com/office/spreadsheetml/2010/11/main" uri="{B97F6D7D-B522-45F9-BDA1-12C45D357490}">
          <x15:cacheHierarchy aggregatedColumn="0"/>
        </ext>
      </extLst>
    </cacheHierarchy>
    <cacheHierarchy uniqueName="[Measures].[Count of Order Number]" caption="Count of Order Number" measure="1" displayFolder="" measureGroup="sheet9" count="0" hidden="1">
      <extLst>
        <ext xmlns:x15="http://schemas.microsoft.com/office/spreadsheetml/2010/11/main" uri="{B97F6D7D-B522-45F9-BDA1-12C45D357490}">
          <x15:cacheHierarchy aggregatedColumn="0"/>
        </ext>
      </extLst>
    </cacheHierarchy>
    <cacheHierarchy uniqueName="[Measures].[Sum of inventory value2]" caption="Sum of inventory value2" measure="1" displayFolder="" measureGroup="sheet9"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gross profit]" caption="Sum of gross profit" measure="1" displayFolder="" measureGroup="sheet9"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sheet9" uniqueName="[sheet9]" caption="sheet9"/>
  </dimensions>
  <measureGroups count="1">
    <measureGroup name="sheet9" caption="sheet9"/>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da" refreshedDate="46024.123796527776" backgroundQuery="1" createdVersion="8" refreshedVersion="8" minRefreshableVersion="3" recordCount="0" supportSubquery="1" supportAdvancedDrill="1" xr:uid="{39A6902D-C8A8-40AC-99FB-8D08D43BFFAF}">
  <cacheSource type="external" connectionId="8"/>
  <cacheFields count="2">
    <cacheField name="[Measures].[Sum of gross profit]" caption="Sum of gross profit" numFmtId="0" hierarchy="28" level="32767"/>
    <cacheField name="[sheet9].[sheet4.Store Region].[sheet4.Store Region]" caption="sheet4.Store Region" numFmtId="0" hierarchy="15" level="1">
      <sharedItems count="5">
        <s v="East"/>
        <s v="Midwest"/>
        <s v="South"/>
        <s v="Southwest"/>
        <s v="West"/>
      </sharedItems>
    </cacheField>
  </cacheFields>
  <cacheHierarchies count="29">
    <cacheHierarchy uniqueName="[sheet9].[Order Number]" caption="Order Number" attribute="1" defaultMemberUniqueName="[sheet9].[Order Number].[All]" allUniqueName="[sheet9].[Order Number].[All]" dimensionUniqueName="[sheet9]" displayFolder="" count="0" memberValueDatatype="20" unbalanced="0"/>
    <cacheHierarchy uniqueName="[sheet9].[Date]" caption="Date" attribute="1" time="1" defaultMemberUniqueName="[sheet9].[Date].[All]" allUniqueName="[sheet9].[Date].[All]" dimensionUniqueName="[sheet9]" displayFolder="" count="0" memberValueDatatype="7" unbalanced="0"/>
    <cacheHierarchy uniqueName="[sheet9].[Quantity]" caption="Quantity" attribute="1" defaultMemberUniqueName="[sheet9].[Quantity].[All]" allUniqueName="[sheet9].[Quantity].[All]" dimensionUniqueName="[sheet9]" displayFolder="" count="0" memberValueDatatype="20" unbalanced="0"/>
    <cacheHierarchy uniqueName="[sheet9].[Cost]" caption="Cost" attribute="1" defaultMemberUniqueName="[sheet9].[Cost].[All]" allUniqueName="[sheet9].[Cost].[All]" dimensionUniqueName="[sheet9]" displayFolder="" count="0" memberValueDatatype="5" unbalanced="0"/>
    <cacheHierarchy uniqueName="[sheet9].[Price]" caption="Price" attribute="1" defaultMemberUniqueName="[sheet9].[Price].[All]" allUniqueName="[sheet9].[Price].[All]" dimensionUniqueName="[sheet9]" displayFolder="" count="0" memberValueDatatype="5" unbalanced="0"/>
    <cacheHierarchy uniqueName="[sheet9].[Store Key]" caption="Store Key" attribute="1" defaultMemberUniqueName="[sheet9].[Store Key].[All]" allUniqueName="[sheet9].[Store Key].[All]" dimensionUniqueName="[sheet9]" displayFolder="" count="0" memberValueDatatype="20" unbalanced="0"/>
    <cacheHierarchy uniqueName="[sheet9].[Cust Key]" caption="Cust Key" attribute="1" defaultMemberUniqueName="[sheet9].[Cust Key].[All]" allUniqueName="[sheet9].[Cust Key].[All]" dimensionUniqueName="[sheet9]" displayFolder="" count="0" memberValueDatatype="20" unbalanced="0"/>
    <cacheHierarchy uniqueName="[sheet9].[sheet8.Product Key]" caption="sheet8.Product Key" attribute="1" defaultMemberUniqueName="[sheet9].[sheet8.Product Key].[All]" allUniqueName="[sheet9].[sheet8.Product Key].[All]" dimensionUniqueName="[sheet9]" displayFolder="" count="0" memberValueDatatype="20" unbalanced="0"/>
    <cacheHierarchy uniqueName="[sheet9].[sheet8.Sales Amount]" caption="sheet8.Sales Amount" attribute="1" defaultMemberUniqueName="[sheet9].[sheet8.Sales Amount].[All]" allUniqueName="[sheet9].[sheet8.Sales Amount].[All]" dimensionUniqueName="[sheet9]" displayFolder="" count="0" memberValueDatatype="5" unbalanced="0"/>
    <cacheHierarchy uniqueName="[sheet9].[sheet8.Cost Amount]" caption="sheet8.Cost Amount" attribute="1" defaultMemberUniqueName="[sheet9].[sheet8.Cost Amount].[All]" allUniqueName="[sheet9].[sheet8.Cost Amount].[All]" dimensionUniqueName="[sheet9]" displayFolder="" count="0" memberValueDatatype="5" unbalanced="0"/>
    <cacheHierarchy uniqueName="[sheet9].[sheet6.Product Name]" caption="sheet6.Product Name" attribute="1" defaultMemberUniqueName="[sheet9].[sheet6.Product Name].[All]" allUniqueName="[sheet9].[sheet6.Product Name].[All]" dimensionUniqueName="[sheet9]" displayFolder="" count="0" memberValueDatatype="130" unbalanced="0"/>
    <cacheHierarchy uniqueName="[sheet9].[sheet6.Product Type]" caption="sheet6.Product Type" attribute="1" defaultMemberUniqueName="[sheet9].[sheet6.Product Type].[All]" allUniqueName="[sheet9].[sheet6.Product Type].[All]" dimensionUniqueName="[sheet9]" displayFolder="" count="0" memberValueDatatype="130" unbalanced="0"/>
    <cacheHierarchy uniqueName="[sheet9].[sheet6.Quantity on Hand]" caption="sheet6.Quantity on Hand" attribute="1" defaultMemberUniqueName="[sheet9].[sheet6.Quantity on Hand].[All]" allUniqueName="[sheet9].[sheet6.Quantity on Hand].[All]" dimensionUniqueName="[sheet9]" displayFolder="" count="0" memberValueDatatype="20" unbalanced="0"/>
    <cacheHierarchy uniqueName="[sheet9].[sheet4.Store Name]" caption="sheet4.Store Name" attribute="1" defaultMemberUniqueName="[sheet9].[sheet4.Store Name].[All]" allUniqueName="[sheet9].[sheet4.Store Name].[All]" dimensionUniqueName="[sheet9]" displayFolder="" count="0" memberValueDatatype="130" unbalanced="0"/>
    <cacheHierarchy uniqueName="[sheet9].[sheet4.Store Address]" caption="sheet4.Store Address" attribute="1" defaultMemberUniqueName="[sheet9].[sheet4.Store Address].[All]" allUniqueName="[sheet9].[sheet4.Store Address].[All]" dimensionUniqueName="[sheet9]" displayFolder="" count="0" memberValueDatatype="130" unbalanced="0"/>
    <cacheHierarchy uniqueName="[sheet9].[sheet4.Store Region]" caption="sheet4.Store Region" attribute="1" defaultMemberUniqueName="[sheet9].[sheet4.Store Region].[All]" allUniqueName="[sheet9].[sheet4.Store Region].[All]" dimensionUniqueName="[sheet9]" displayFolder="" count="2" memberValueDatatype="130" unbalanced="0">
      <fieldsUsage count="2">
        <fieldUsage x="-1"/>
        <fieldUsage x="1"/>
      </fieldsUsage>
    </cacheHierarchy>
    <cacheHierarchy uniqueName="[sheet9].[sheet3.Cust Region]" caption="sheet3.Cust Region" attribute="1" defaultMemberUniqueName="[sheet9].[sheet3.Cust Region].[All]" allUniqueName="[sheet9].[sheet3.Cust Region].[All]" dimensionUniqueName="[sheet9]" displayFolder="" count="0" memberValueDatatype="130" unbalanced="0"/>
    <cacheHierarchy uniqueName="[sheet9].[inventory value]" caption="inventory value" attribute="1" defaultMemberUniqueName="[sheet9].[inventory value].[All]" allUniqueName="[sheet9].[inventory value].[All]" dimensionUniqueName="[sheet9]" displayFolder="" count="0" memberValueDatatype="5" unbalanced="0"/>
    <cacheHierarchy uniqueName="[sheet9].[inventory value2]" caption="inventory value2" attribute="1" defaultMemberUniqueName="[sheet9].[inventory value2].[All]" allUniqueName="[sheet9].[inventory value2].[All]" dimensionUniqueName="[sheet9]" displayFolder="" count="0" memberValueDatatype="5" unbalanced="0"/>
    <cacheHierarchy uniqueName="[sheet9].[gross profit]" caption="gross profit" attribute="1" defaultMemberUniqueName="[sheet9].[gross profit].[All]" allUniqueName="[sheet9].[gross profit].[All]" dimensionUniqueName="[sheet9]" displayFolder="" count="0" memberValueDatatype="5" unbalanced="0"/>
    <cacheHierarchy uniqueName="[Measures].[__XL_Count sheet9]" caption="__XL_Count sheet9" measure="1" displayFolder="" measureGroup="sheet9" count="0" hidden="1"/>
    <cacheHierarchy uniqueName="[Measures].[__No measures defined]" caption="__No measures defined" measure="1" displayFolder="" count="0" hidden="1"/>
    <cacheHierarchy uniqueName="[Measures].[Sum of sheet6.Quantity on Hand]" caption="Sum of sheet6.Quantity on Hand" measure="1" displayFolder="" measureGroup="sheet9" count="0" hidden="1">
      <extLst>
        <ext xmlns:x15="http://schemas.microsoft.com/office/spreadsheetml/2010/11/main" uri="{B97F6D7D-B522-45F9-BDA1-12C45D357490}">
          <x15:cacheHierarchy aggregatedColumn="12"/>
        </ext>
      </extLst>
    </cacheHierarchy>
    <cacheHierarchy uniqueName="[Measures].[Sum of sheet8.Sales Amount]" caption="Sum of sheet8.Sales Amount" measure="1" displayFolder="" measureGroup="sheet9" count="0" hidden="1">
      <extLst>
        <ext xmlns:x15="http://schemas.microsoft.com/office/spreadsheetml/2010/11/main" uri="{B97F6D7D-B522-45F9-BDA1-12C45D357490}">
          <x15:cacheHierarchy aggregatedColumn="8"/>
        </ext>
      </extLst>
    </cacheHierarchy>
    <cacheHierarchy uniqueName="[Measures].[Sum of sheet8.Cost Amount]" caption="Sum of sheet8.Cost Amount" measure="1" displayFolder="" measureGroup="sheet9" count="0" hidden="1">
      <extLst>
        <ext xmlns:x15="http://schemas.microsoft.com/office/spreadsheetml/2010/11/main" uri="{B97F6D7D-B522-45F9-BDA1-12C45D357490}">
          <x15:cacheHierarchy aggregatedColumn="9"/>
        </ext>
      </extLst>
    </cacheHierarchy>
    <cacheHierarchy uniqueName="[Measures].[Sum of Order Number]" caption="Sum of Order Number" measure="1" displayFolder="" measureGroup="sheet9" count="0" hidden="1">
      <extLst>
        <ext xmlns:x15="http://schemas.microsoft.com/office/spreadsheetml/2010/11/main" uri="{B97F6D7D-B522-45F9-BDA1-12C45D357490}">
          <x15:cacheHierarchy aggregatedColumn="0"/>
        </ext>
      </extLst>
    </cacheHierarchy>
    <cacheHierarchy uniqueName="[Measures].[Count of Order Number]" caption="Count of Order Number" measure="1" displayFolder="" measureGroup="sheet9" count="0" hidden="1">
      <extLst>
        <ext xmlns:x15="http://schemas.microsoft.com/office/spreadsheetml/2010/11/main" uri="{B97F6D7D-B522-45F9-BDA1-12C45D357490}">
          <x15:cacheHierarchy aggregatedColumn="0"/>
        </ext>
      </extLst>
    </cacheHierarchy>
    <cacheHierarchy uniqueName="[Measures].[Sum of inventory value2]" caption="Sum of inventory value2" measure="1" displayFolder="" measureGroup="sheet9" count="0" hidden="1">
      <extLst>
        <ext xmlns:x15="http://schemas.microsoft.com/office/spreadsheetml/2010/11/main" uri="{B97F6D7D-B522-45F9-BDA1-12C45D357490}">
          <x15:cacheHierarchy aggregatedColumn="18"/>
        </ext>
      </extLst>
    </cacheHierarchy>
    <cacheHierarchy uniqueName="[Measures].[Sum of gross profit]" caption="Sum of gross profit" measure="1" displayFolder="" measureGroup="sheet9" count="0" oneField="1" hidden="1">
      <fieldsUsage count="1">
        <fieldUsage x="0"/>
      </fieldsUsage>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sheet9" uniqueName="[sheet9]" caption="sheet9"/>
  </dimensions>
  <measureGroups count="1">
    <measureGroup name="sheet9" caption="sheet9"/>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da" refreshedDate="46024.131551736114" createdVersion="8" refreshedVersion="8" minRefreshableVersion="3" recordCount="110" xr:uid="{81FD934C-3F6D-4607-A8EA-383782F3D34F}">
  <cacheSource type="worksheet">
    <worksheetSource name="sheet9"/>
  </cacheSource>
  <cacheFields count="26">
    <cacheField name="Order Number" numFmtId="0">
      <sharedItems containsSemiMixedTypes="0" containsString="0" containsNumber="1" containsInteger="1" minValue="217410" maxValue="543451"/>
    </cacheField>
    <cacheField name="Date" numFmtId="22">
      <sharedItems containsSemiMixedTypes="0" containsNonDate="0" containsDate="1" containsString="0" minDate="2019-02-08T08:23:02" maxDate="2023-02-09T21:46:37" count="110">
        <d v="2023-01-26T19:44:09"/>
        <d v="2022-01-19T08:46:07"/>
        <d v="2023-01-31T12:11:58"/>
        <d v="2022-01-28T13:30:42"/>
        <d v="2021-01-24T00:46:23"/>
        <d v="2020-01-28T14:24:43"/>
        <d v="2022-01-20T03:48:37"/>
        <d v="2021-01-21T05:12:39"/>
        <d v="2020-01-29T00:47:14"/>
        <d v="2020-01-13T06:38:25"/>
        <d v="2023-01-20T21:25:26"/>
        <d v="2020-01-10T21:33:06"/>
        <d v="2020-01-16T05:49:29"/>
        <d v="2020-02-03T22:24:47"/>
        <d v="2022-01-15T12:23:49"/>
        <d v="2022-01-14T11:54:15"/>
        <d v="2023-02-06T21:17:33"/>
        <d v="2020-01-10T15:03:07"/>
        <d v="2021-02-04T04:51:44"/>
        <d v="2022-02-17T15:15:09"/>
        <d v="2022-01-14T01:11:58"/>
        <d v="2020-01-15T13:59:21"/>
        <d v="2022-02-04T12:46:45"/>
        <d v="2020-01-09T09:44:49"/>
        <d v="2021-01-20T09:40:14"/>
        <d v="2021-01-05T01:25:36"/>
        <d v="2020-01-22T23:11:36"/>
        <d v="2021-09-01T22:41:39"/>
        <d v="2019-03-05T15:08:47"/>
        <d v="2019-08-08T03:32:20"/>
        <d v="2019-06-21T13:33:00"/>
        <d v="2022-09-24T08:04:34"/>
        <d v="2021-09-17T17:23:17"/>
        <d v="2022-09-20T19:33:24"/>
        <d v="2020-10-20T01:19:53"/>
        <d v="2021-11-24T17:37:00"/>
        <d v="2023-01-20T12:02:16"/>
        <d v="2020-01-26T04:47:19"/>
        <d v="2021-11-02T08:13:28"/>
        <d v="2020-11-28T17:08:34"/>
        <d v="2019-11-17T12:19:01"/>
        <d v="2019-02-26T22:26:09"/>
        <d v="2019-02-09T20:45:21"/>
        <d v="2023-02-07T23:13:02"/>
        <d v="2021-04-18T10:05:30"/>
        <d v="2021-05-25T03:55:23"/>
        <d v="2021-05-12T10:12:32"/>
        <d v="2022-05-08T02:57:04"/>
        <d v="2019-06-10T20:34:51"/>
        <d v="2021-06-06T18:26:14"/>
        <d v="2021-08-04T18:22:50"/>
        <d v="2019-05-10T02:37:54"/>
        <d v="2022-05-13T00:15:04"/>
        <d v="2019-05-10T19:42:10"/>
        <d v="2021-06-05T18:33:22"/>
        <d v="2020-06-05T21:39:53"/>
        <d v="2022-06-12T23:22:53"/>
        <d v="2022-08-17T18:40:52"/>
        <d v="2021-08-10T14:30:01"/>
        <d v="2019-04-14T01:01:00"/>
        <d v="2021-10-05T04:16:07"/>
        <d v="2019-02-08T08:23:02"/>
        <d v="2019-02-15T01:46:22"/>
        <d v="2019-07-02T10:48:20"/>
        <d v="2021-08-19T12:48:14"/>
        <d v="2021-08-07T19:34:50"/>
        <d v="2020-08-28T01:47:44"/>
        <d v="2019-09-01T18:56:51"/>
        <d v="2020-08-11T18:35:43"/>
        <d v="2020-08-21T05:52:43"/>
        <d v="2019-08-14T12:18:44"/>
        <d v="2019-04-18T10:44:36"/>
        <d v="2019-06-08T02:16:18"/>
        <d v="2021-06-09T03:05:42"/>
        <d v="2022-06-27T07:59:48"/>
        <d v="2021-07-31T02:50:04"/>
        <d v="2021-07-02T10:25:30"/>
        <d v="2020-07-09T18:47:08"/>
        <d v="2020-04-11T16:31:06"/>
        <d v="2019-06-25T19:59:43"/>
        <d v="2020-06-29T18:11:15"/>
        <d v="2023-02-09T21:46:37"/>
        <d v="2022-08-31T07:16:37"/>
        <d v="2021-05-04T16:51:05"/>
        <d v="2021-08-08T18:31:36"/>
        <d v="2019-08-25T11:08:00"/>
        <d v="2021-08-18T02:55:13"/>
        <d v="2020-06-09T10:32:56"/>
        <d v="2021-04-09T00:32:42"/>
        <d v="2019-05-01T14:33:01"/>
        <d v="2021-09-04T00:43:21"/>
        <d v="2019-08-14T23:24:47"/>
        <d v="2021-10-31T13:55:31"/>
        <d v="2022-10-26T15:51:22"/>
        <d v="2022-10-21T20:52:32"/>
        <d v="2021-03-04T11:30:59"/>
        <d v="2021-02-22T06:28:04"/>
        <d v="2021-02-11T11:15:30"/>
        <d v="2019-10-31T10:33:11"/>
        <d v="2019-11-03T00:50:25"/>
        <d v="2022-09-02T11:51:56"/>
        <d v="2023-01-12T02:08:55"/>
        <d v="2021-06-17T16:39:14"/>
        <d v="2021-09-01T21:30:28"/>
        <d v="2019-09-16T00:30:57"/>
        <d v="2020-08-17T06:30:44"/>
        <d v="2022-11-29T13:41:59"/>
        <d v="2021-11-19T03:20:14"/>
        <d v="2022-10-29T13:07:24"/>
        <d v="2021-03-29T08:55:18"/>
      </sharedItems>
      <fieldGroup par="25"/>
    </cacheField>
    <cacheField name="Quantity" numFmtId="0">
      <sharedItems containsSemiMixedTypes="0" containsString="0" containsNumber="1" containsInteger="1" minValue="1" maxValue="5"/>
    </cacheField>
    <cacheField name="Cost" numFmtId="0">
      <sharedItems containsSemiMixedTypes="0" containsString="0" containsNumber="1" minValue="19.072327044025151" maxValue="1315.6213592233009"/>
    </cacheField>
    <cacheField name="Price" numFmtId="0">
      <sharedItems containsSemiMixedTypes="0" containsString="0" containsNumber="1" minValue="28.5" maxValue="1737"/>
    </cacheField>
    <cacheField name="Store Key" numFmtId="0">
      <sharedItems containsSemiMixedTypes="0" containsString="0" containsNumber="1" containsInteger="1" minValue="8" maxValue="992"/>
    </cacheField>
    <cacheField name="Cust Key" numFmtId="0">
      <sharedItems containsSemiMixedTypes="0" containsString="0" containsNumber="1" containsInteger="1" minValue="1731" maxValue="4366"/>
    </cacheField>
    <cacheField name="sheet8.Product Key" numFmtId="0">
      <sharedItems containsSemiMixedTypes="0" containsString="0" containsNumber="1" containsInteger="1" minValue="4" maxValue="1096"/>
    </cacheField>
    <cacheField name="sheet8.Sales Amount" numFmtId="0">
      <sharedItems containsSemiMixedTypes="0" containsString="0" containsNumber="1" minValue="28.5" maxValue="3474"/>
    </cacheField>
    <cacheField name="sheet8.Cost Amount" numFmtId="0">
      <sharedItems containsSemiMixedTypes="0" containsString="0" containsNumber="1" minValue="21.784313725000001" maxValue="2631.2427183999998"/>
    </cacheField>
    <cacheField name="sheet6.Product Name" numFmtId="0">
      <sharedItems count="110">
        <s v="131-Galaxy S6 4G with 32GB Memory Cell Phone   White Pearl (AT&amp;T)"/>
        <s v="424-ENVY x360 2 in 1 15.6Touch"/>
        <s v="8-55&quot; Class (54.6&quot; Diag.)   LED   Curved"/>
        <s v="9-55&quot; Class (54.6&quot; Diag.)   LED   2160p"/>
        <s v="33-65&quot; Class (64.5&quot; Diag.)   LED   2160p"/>
        <s v="23-M Series   55&quot; Class (55&quot; Diag.)"/>
        <s v="1096-Knitting Needles"/>
        <s v="37-AQUOS   70&quot; Class (69.5&quot; Diag.)   LED"/>
        <s v="54-Protector Case for 5th Generation Apple® iPod® touch   Black"/>
        <s v="1075-Guitar Straps"/>
        <s v="501-EF 85mm f/1.8 USM Medium Telephoto Lens   Black"/>
        <s v="703-MFC 8950DW Wireless Black and"/>
        <s v="1030-Craft Cutters &amp; Embossers"/>
        <s v="1056-Felting Needles &amp; Machines"/>
        <s v="1089-Hockey Fan Accessories"/>
        <s v="1060-Floral Tape"/>
        <s v="1079-Hand Bells &amp; Chimes"/>
        <s v="1064-Flute Parts"/>
        <s v="1061-Floral Wire"/>
        <s v="1087-Harmonica Holders"/>
        <s v="1028-Craft &amp; Office Glue"/>
        <s v="321-Earbud Headphones   Black"/>
        <s v="346-Survivor AUX 4' Auxiliary Audio Cable   Blue"/>
        <s v="186-Flip 3 Portable Bluetooth Speaker   Black"/>
        <s v="796-D5300 DSLR Camera (Body Only)   Black"/>
        <s v="87-Bullfrogz Case for Apple® iPod® touch 5th Generation   Black/Green"/>
        <s v="68-KaZoo Case for 5th Generation Apple® iPod® touch   Black"/>
        <s v="444-Aspire 15.6&quot; Laptop   Intel Celeron   4GB Memory"/>
        <s v="372-$15 iTunes Gift Card   Blue/Purple"/>
        <s v="309-Tone Pro Bluetooth Headset   Black"/>
        <s v="200-Hangtime Wireless Bluetooth Speaker   Black"/>
        <s v="154-Character Support Stand for Pill Speakers   Pink"/>
        <s v="182-Portable Bluetooth Stereo Speaker   Black"/>
        <s v="556-Sonnar T FE 55mm f/1.8 ZA Lens for Most Sony a7 Series Cameras   Black"/>
        <s v="93-Courier Clip Case for Apple® iPod® nano 7th Generation   Black"/>
        <s v="336-EX Series Earbud Headphones   Black"/>
        <s v="360-iPod nano® 16GB MP3 Player (8th Generation   Latest Model)   Space Gray"/>
        <s v="190-Mini Life Jacket Bluetooth Speaker   Blue"/>
        <s v="1008-Brass Instrument Cleaning Tools"/>
        <s v="334-urBeats Earbud Headphones   Black"/>
        <s v="38-65&quot; Class (64.5&quot; Diag.)   LED   Curved"/>
        <s v="308-Tone Infinim Wireless Earbud Headphones   Metallic Silver"/>
        <s v="381-iPod nano® 16GB MP3 Player (8th Generation   Latest Model)   Gold"/>
        <s v="368-iPod touch® 64GB MP3 Player (6th Generation   Latest Model)   White/Silver"/>
        <s v="390-iPod nano® 16GB MP3 Player (8th Generation   Latest Model)   Silver"/>
        <s v="183-SoundLink® Portable Bluetooth Speaker III   Silver/Black"/>
        <s v="1095-Jewelry Findings"/>
        <s v="986-Art Ink"/>
        <s v="158-Stanmore Bluetooth Speaker   Black"/>
        <s v="159-420W Portable Party Speaker System with Apple® iPod® and iPhone® Dock   Black"/>
        <s v="205-65&quot; Class (64.5&quot; Diag.)   LED   Curved"/>
        <s v="1018-Clarinet Cases &amp; Gigbags"/>
        <s v="1069-Guitar Cases &amp; Gig Bags"/>
        <s v="1053-Eyelets &amp; Grommets"/>
        <s v="377-iPod nano® 16GB MP3 Player (8th Generation   Latest Model)   Space Gray"/>
        <s v="1059-Finger &amp; Hand Cymbals"/>
        <s v="1050-Electric Guitar Pickups"/>
        <s v="327-20' Headphone Extension Cable and Adapter Kit   Black"/>
        <s v="163-CallJax 3.5mm Audio Cable   Black"/>
        <s v="1083-Hand Percussion Stands &amp; Mounts"/>
        <s v="118-iPhone 6s 16GB   Gold (AT&amp;T)"/>
        <s v="184-SoundLink® Mini Bluetooth Speaker II   Pearl"/>
        <s v="188-SoundLink® Color Bluetooth Speaker   Blue"/>
        <s v="61-Apple MFi Certified 4' Touch On LED Lightning Charge and Sync Cable"/>
        <s v="176-SoundLink® Mini Bluetooth Speaker II   Carbon"/>
        <s v="1047-Drum Pedals"/>
        <s v="290-21.5&quot; LED HD Monitor   Black"/>
        <s v="320-ZX Series On Ear Headphones   White"/>
        <s v="171-PowerBlock Micro Wall Charger for Select Apple® Devices   White"/>
        <s v="325-Uproar On Ear Headphones   Black"/>
        <s v="384-iPod touch® 32GB MP3 Player (6th Generation   Latest Model)   Space Gray"/>
        <s v="739-Officejet Pro 8610 e All in"/>
        <s v="185-Bluetooth Audio Transmitter   White"/>
        <s v="510-AF S DX NIKKOR 55 300mm f/4.5"/>
        <s v="976-G4 Cell Phone   Deep Blue (Verizon Wireless)"/>
        <s v="89-Call Jax Plus 3.5mm Audio Cable   Black"/>
        <s v="890-iPhone 6s 128GB   Space Gray (Sprint)"/>
        <s v="294-21.5&quot; LED HD Touch Screen Monitor   Black"/>
        <s v="462-65&quot; Class (64.5&quot; Diag.)   LED   Curved"/>
        <s v="275-Gamer Ultra Desktop   AMD FX Series"/>
        <s v="322-Gumy Plus Earbud Headphones   Black"/>
        <s v="104-Galaxy Note5 4G LTE with 32GB Memory Cell Phone   White Pearl (AT&amp;T)"/>
        <s v="470-43&quot; Class (42.5&quot; Diag.)   LED   1080p"/>
        <s v="345-Step Wireless Earbud Headphones   Black"/>
        <s v="52-Plus Portable Bluetooth Speaker   Gray"/>
        <s v="333-Step Up EX Series Earbud Headphones   Black"/>
        <s v="380-iPod touch® 16GB MP3 Player (6th Generation   Latest Model)   Space Gray"/>
        <s v="355-iPod nano® 16GB MP3 Player (8th Generation   Latest Model)   Gold"/>
        <s v="405-Flip 2 in 1 10.1Touch"/>
        <s v="57-4' Micro USB Charge and Sync Cable"/>
        <s v="385-iPod shuffle® 2GB MP3 Player (6th Generation   Latest Model)   White &amp; Silver"/>
        <s v="304-Over the Ear Wireless Headphones"/>
        <s v="319-EX Earbud Headphones   White"/>
        <s v="392-iPod touch® 16GB MP3 Player (6th Generation   Latest Model)   Silver"/>
        <s v="870-iPhone 6s Plus 64GB   Silver (Sprint)"/>
        <s v="318-Noise Canceling Over the"/>
        <s v="261-21.5All In One"/>
        <s v="78-BOOM Wireless Bluetooth Speaker   Black"/>
        <s v="351-Geek Squad Certified Refurbished iPod nano® 16GB MP3 Player (8th Generation   Latest Model)   Space Gray"/>
        <s v="65-Survivor Slim Case for Apple® iPod® touch 5th Generation   Turquoise/Lemon"/>
        <s v="946-iPhone 6s 16GB   Gold (Verizon Wireless)"/>
        <s v="603-Pixtor 64GB SDXC Class 10 UHS 1 Memory Card   Black/Red"/>
        <s v="342-Gumy Earbud Headphones   White"/>
        <s v="378-iPod touch® 16GB MP3 Player (6th Generation   Latest Model)   Blue"/>
        <s v="328-Ink'd 2 Earbud Headphones   Blue/Black"/>
        <s v="4-50&quot; Class (49.5&quot; Diag.)   LED   2160p"/>
        <s v="766-Coolpix S9900 16.0 Megapixel Digital Camera   Black"/>
        <s v="354-Geek Squad Certified Refurbished iPod touch® 16GB MP3 Player (6th Generation   Latest Model)   Gold"/>
        <s v="66-Plus Portable Bluetooth Speaker   Pink"/>
        <s v="369-iPod shuffle® 2GB MP3 Player (6th Generation   Latest Model)   Gold"/>
      </sharedItems>
    </cacheField>
    <cacheField name="sheet6.Product Type" numFmtId="0">
      <sharedItems count="6">
        <s v="Mobiles"/>
        <s v="Computers"/>
        <s v="Entertainment"/>
        <s v="Arts &amp; Entertainment"/>
        <s v="Music"/>
        <s v="Photography"/>
      </sharedItems>
    </cacheField>
    <cacheField name="sheet6.Quantity on Hand" numFmtId="0">
      <sharedItems containsSemiMixedTypes="0" containsString="0" containsNumber="1" containsInteger="1" minValue="1" maxValue="3"/>
    </cacheField>
    <cacheField name="sheet4.Store Name" numFmtId="0">
      <sharedItems count="110">
        <s v="Chelsea Store #973"/>
        <s v="Clarges Store #942"/>
        <s v="Abourne Store #949"/>
        <s v="Thoresby Store #819"/>
        <s v="Fawn Store #27"/>
        <s v="Carlton Store #617"/>
        <s v="Udall Store #531"/>
        <s v="Ernest Store #898"/>
        <s v="Blenkarne Store #199"/>
        <s v="Church Store #594"/>
        <s v="Thorndike Store #866"/>
        <s v="Calvin Store #247"/>
        <s v="Norland Store #443"/>
        <s v="Norfolk Store #36"/>
        <s v="Linda Store #184"/>
        <s v="Cavendish Store #409"/>
        <s v="Argyle Store #858"/>
        <s v="Westcott Store #500"/>
        <s v="Cliff Store #591"/>
        <s v="Walnut Store #8"/>
        <s v="Bolton Store #170"/>
        <s v="Woodland Store #425"/>
        <s v="Ashley Store #831"/>
        <s v="Cadogan Store #115"/>
        <s v="Lincoln Store #200"/>
        <s v="King Store #625"/>
        <s v="Duthie Store #402"/>
        <s v="Angrave Store #661"/>
        <s v="Tisbury Store #473"/>
        <s v="Commercial Store #201"/>
        <s v="Gautrey Store #795"/>
        <s v="Caroline Store #400"/>
        <s v="Angel Store #912"/>
        <s v="Ampton Store #39"/>
        <s v="Garfield Store #436"/>
        <s v="Abbots Store #888"/>
        <s v="Eaglet Store #269"/>
        <s v="Rivervalley Store #815"/>
        <s v="Bendmore Store #992"/>
        <s v="Cedarne Store #869"/>
        <s v="King Store #922"/>
        <s v="Arline Store #649"/>
        <s v="Durnford Store #845"/>
        <s v="Chester Store #164"/>
        <s v="Carlton Store #889"/>
        <s v="Coborn Store #527"/>
        <s v="Coley Store #56"/>
        <s v="Chapel Store #897"/>
        <s v="Union Store #318"/>
        <s v="Thrale Store #895"/>
        <s v="Arbutus Store #270"/>
        <s v="Linden Store #383"/>
        <s v="Balham Store #305"/>
        <s v="Calvin Store #882"/>
        <s v="Thurloe Store #149"/>
        <s v="Cobden Store #788"/>
        <s v="Maple Store #525"/>
        <s v="Gavel Store #502"/>
        <s v="King Store #705"/>
        <s v="Aspen Store #641"/>
        <s v="Dunstable Store #33"/>
        <s v="Blore Store #204"/>
        <s v="Spruce Store #254"/>
        <s v="Colombo Store #630"/>
        <s v="Anns Store #24"/>
        <s v="Lonsdale Store #847"/>
        <s v="Enford Store #642"/>
        <s v="Argyle Store #326"/>
        <s v="Queen Store #801"/>
        <s v="Geffrye Store #784"/>
        <s v="King Store #659"/>
        <s v="Sheraton Store #610"/>
        <s v="Timber Store #932"/>
        <s v="Abourne Store #267"/>
        <s v="Lexington Store #538"/>
        <s v="Arthur Store #438"/>
        <s v="Abbey Store #885"/>
        <s v="Aberavon Store #544"/>
        <s v="Carlisle Store #16"/>
        <s v="Earl Store #766"/>
        <s v="Blackheath Store #687"/>
        <s v="Thorndike Store #972"/>
        <s v="Cheney Store #674"/>
        <s v="Camberwell Store #359"/>
        <s v="Coalecroft Store #212"/>
        <s v="Eaglet Store #550"/>
        <s v="Pine Store #717"/>
        <s v="Norland Store #734"/>
        <s v="Lonsdale Store #241"/>
        <s v="Longmoore Store #314"/>
        <s v="Baltic Store #84"/>
        <s v="Collent Store #192"/>
        <s v="Walnut Store #763"/>
        <s v="Collins Store #911"/>
        <s v="York Store #814"/>
        <s v="Ellerman Store #908"/>
        <s v="Carolina Store #222"/>
        <s v="Balfour Store #182"/>
        <s v="Hamilton Store #615"/>
        <s v="Chambers Store #71"/>
        <s v="Edwin Store #974"/>
        <s v="Coalecroft Store #491"/>
        <s v="Blue Anchor Store #303"/>
        <s v="Oxford Store #464"/>
        <s v="Cliff Store #870"/>
        <s v="Chelsea Store #770"/>
        <s v="Carol Store #394"/>
        <s v="Commercial Store #178"/>
        <s v="Walnut Store #984"/>
        <s v="Westcott Store #341"/>
      </sharedItems>
    </cacheField>
    <cacheField name="sheet4.Store Address" numFmtId="0">
      <sharedItems/>
    </cacheField>
    <cacheField name="sheet4.Store Region" numFmtId="0">
      <sharedItems count="5">
        <s v="Southwest"/>
        <s v="South"/>
        <s v="East"/>
        <s v="West"/>
        <s v="Midwest"/>
      </sharedItems>
    </cacheField>
    <cacheField name="sheet3.Cust Region" numFmtId="0">
      <sharedItems count="5">
        <s v="Southwest"/>
        <s v="South"/>
        <s v="East"/>
        <s v="West"/>
        <s v="Midwest"/>
      </sharedItems>
    </cacheField>
    <cacheField name="inventory value" numFmtId="0">
      <sharedItems containsSemiMixedTypes="0" containsString="0" containsNumber="1" minValue="24.666666666666671" maxValue="3946.8640776699031"/>
    </cacheField>
    <cacheField name="inventory value2" numFmtId="0">
      <sharedItems containsSemiMixedTypes="0" containsString="0" containsNumber="1" minValue="21.7843137254902" maxValue="3799.3177570093471"/>
    </cacheField>
    <cacheField name="gross profit" numFmtId="0">
      <sharedItems containsSemiMixedTypes="0" containsString="0" containsNumber="1" minValue="6.7156862749999995" maxValue="842.75728160000017"/>
    </cacheField>
    <cacheField name="reorder level" numFmtId="0">
      <sharedItems containsSemiMixedTypes="0" containsString="0" containsNumber="1" containsInteger="1" minValue="2" maxValue="2"/>
    </cacheField>
    <cacheField name="stock status" numFmtId="0">
      <sharedItems count="2">
        <s v="over stock"/>
        <s v="under stock"/>
      </sharedItems>
    </cacheField>
    <cacheField name="profit margin" numFmtId="0">
      <sharedItems containsSemiMixedTypes="0" containsString="0" containsNumber="1" minValue="-47.936188508771934" maxValue="3398.2589891076568"/>
    </cacheField>
    <cacheField name="Months (Date)" numFmtId="0" databaseField="0">
      <fieldGroup base="1">
        <rangePr groupBy="months" startDate="2019-02-08T08:23:02" endDate="2023-02-09T21:46:37"/>
        <groupItems count="14">
          <s v="&lt;08-02-2019"/>
          <s v="Jan"/>
          <s v="Feb"/>
          <s v="Mar"/>
          <s v="Apr"/>
          <s v="May"/>
          <s v="Jun"/>
          <s v="Jul"/>
          <s v="Aug"/>
          <s v="Sep"/>
          <s v="Oct"/>
          <s v="Nov"/>
          <s v="Dec"/>
          <s v="&gt;09-02-2023"/>
        </groupItems>
      </fieldGroup>
    </cacheField>
    <cacheField name="Quarters (Date)" numFmtId="0" databaseField="0">
      <fieldGroup base="1">
        <rangePr groupBy="quarters" startDate="2019-02-08T08:23:02" endDate="2023-02-09T21:46:37"/>
        <groupItems count="6">
          <s v="&lt;08-02-2019"/>
          <s v="Qtr1"/>
          <s v="Qtr2"/>
          <s v="Qtr3"/>
          <s v="Qtr4"/>
          <s v="&gt;09-02-2023"/>
        </groupItems>
      </fieldGroup>
    </cacheField>
    <cacheField name="Years (Date)" numFmtId="0" databaseField="0">
      <fieldGroup base="1">
        <rangePr groupBy="years" startDate="2019-02-08T08:23:02" endDate="2023-02-09T21:46:37"/>
        <groupItems count="7">
          <s v="&lt;08-02-2019"/>
          <s v="2019"/>
          <s v="2020"/>
          <s v="2021"/>
          <s v="2022"/>
          <s v="2023"/>
          <s v="&gt;09-02-2023"/>
        </groupItems>
      </fieldGroup>
    </cacheField>
  </cacheFields>
  <extLst>
    <ext xmlns:x14="http://schemas.microsoft.com/office/spreadsheetml/2009/9/main" uri="{725AE2AE-9491-48be-B2B4-4EB974FC3084}">
      <x14:pivotCacheDefinition pivotCacheId="10024823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n v="221423"/>
    <x v="0"/>
    <n v="5"/>
    <n v="58.990909090909078"/>
    <n v="91.5"/>
    <n v="973"/>
    <n v="1762"/>
    <n v="131"/>
    <n v="183"/>
    <n v="39.333333332999999"/>
    <x v="0"/>
    <x v="0"/>
    <n v="3"/>
    <x v="0"/>
    <s v="973 Chelsea Manor Crossroad"/>
    <x v="0"/>
    <x v="0"/>
    <n v="176.97272727272724"/>
    <n v="294.95454545454538"/>
    <n v="143.66666666700002"/>
    <n v="2"/>
    <x v="0"/>
    <n v="161.50637522786886"/>
  </r>
  <r>
    <n v="222051"/>
    <x v="1"/>
    <n v="1"/>
    <n v="266.90909090909088"/>
    <n v="414"/>
    <n v="942"/>
    <n v="1766"/>
    <n v="424"/>
    <n v="345"/>
    <n v="111.22727273"/>
    <x v="1"/>
    <x v="1"/>
    <n v="2"/>
    <x v="1"/>
    <s v="942 Clarges Crossroad"/>
    <x v="1"/>
    <x v="1"/>
    <n v="533.81818181818176"/>
    <n v="266.90909090909088"/>
    <n v="233.77272727000002"/>
    <n v="2"/>
    <x v="1"/>
    <n v="312.76021080289854"/>
  </r>
  <r>
    <n v="221889"/>
    <x v="2"/>
    <n v="2"/>
    <n v="77.363636363636346"/>
    <n v="120"/>
    <n v="949"/>
    <n v="1765"/>
    <n v="8"/>
    <n v="345"/>
    <n v="266.94545455000002"/>
    <x v="2"/>
    <x v="2"/>
    <n v="2"/>
    <x v="2"/>
    <s v="949 Abourne Grove"/>
    <x v="2"/>
    <x v="2"/>
    <n v="154.72727272727269"/>
    <n v="154.72727272727269"/>
    <n v="78.054545449999978"/>
    <n v="2"/>
    <x v="0"/>
    <n v="267.62450592753623"/>
  </r>
  <r>
    <n v="218497"/>
    <x v="3"/>
    <n v="1"/>
    <n v="74.181818181818173"/>
    <n v="115"/>
    <n v="819"/>
    <n v="1737"/>
    <n v="9"/>
    <n v="109.5"/>
    <n v="84.763636364000007"/>
    <x v="3"/>
    <x v="2"/>
    <n v="1"/>
    <x v="3"/>
    <s v="819 Thoresby Avenue"/>
    <x v="1"/>
    <x v="1"/>
    <n v="74.181818181818173"/>
    <n v="74.181818181818173"/>
    <n v="24.736363635999993"/>
    <n v="2"/>
    <x v="1"/>
    <n v="32.090286425570767"/>
  </r>
  <r>
    <n v="218227"/>
    <x v="4"/>
    <n v="3"/>
    <n v="84.727272727272705"/>
    <n v="109.5"/>
    <n v="27"/>
    <n v="1736"/>
    <n v="33"/>
    <n v="328.5"/>
    <n v="254.18181817999999"/>
    <x v="4"/>
    <x v="2"/>
    <n v="3"/>
    <x v="4"/>
    <s v="27 Fawn Road"/>
    <x v="3"/>
    <x v="3"/>
    <n v="254.18181818181813"/>
    <n v="254.18181818181813"/>
    <n v="74.318181820000007"/>
    <n v="2"/>
    <x v="0"/>
    <n v="251.12349522678844"/>
  </r>
  <r>
    <n v="217957"/>
    <x v="5"/>
    <n v="2"/>
    <n v="137.72727272727269"/>
    <n v="178"/>
    <n v="617"/>
    <n v="1735"/>
    <n v="23"/>
    <n v="345"/>
    <n v="266.94545455000002"/>
    <x v="5"/>
    <x v="2"/>
    <n v="3"/>
    <x v="5"/>
    <s v="617 Carlton Grove"/>
    <x v="1"/>
    <x v="1"/>
    <n v="413.18181818181807"/>
    <n v="275.45454545454538"/>
    <n v="78.054545449999978"/>
    <n v="2"/>
    <x v="0"/>
    <n v="267.62450592753623"/>
  </r>
  <r>
    <n v="222267"/>
    <x v="6"/>
    <n v="3"/>
    <n v="33.515151515151508"/>
    <n v="52"/>
    <n v="531"/>
    <n v="1767"/>
    <n v="1096"/>
    <n v="1195.5"/>
    <n v="847.9"/>
    <x v="6"/>
    <x v="3"/>
    <n v="2"/>
    <x v="6"/>
    <s v="531 Udall Avenue"/>
    <x v="2"/>
    <x v="2"/>
    <n v="67.030303030303017"/>
    <n v="100.54545454545453"/>
    <n v="347.6"/>
    <n v="2"/>
    <x v="0"/>
    <n v="1124.5757005437056"/>
  </r>
  <r>
    <n v="218677"/>
    <x v="7"/>
    <n v="3"/>
    <n v="37.075757575757571"/>
    <n v="115"/>
    <n v="898"/>
    <n v="1739"/>
    <n v="37"/>
    <n v="298.5"/>
    <n v="230.94545454999999"/>
    <x v="7"/>
    <x v="2"/>
    <n v="1"/>
    <x v="7"/>
    <s v="898 Ernest Lane"/>
    <x v="2"/>
    <x v="0"/>
    <n v="37.075757575757571"/>
    <n v="111.22727272727272"/>
    <n v="67.554545450000006"/>
    <n v="2"/>
    <x v="0"/>
    <n v="221.13133850921272"/>
  </r>
  <r>
    <n v="217524"/>
    <x v="8"/>
    <n v="1"/>
    <n v="36.72727272727272"/>
    <n v="57"/>
    <n v="199"/>
    <n v="1732"/>
    <n v="54"/>
    <n v="549"/>
    <n v="354"/>
    <x v="8"/>
    <x v="4"/>
    <n v="2"/>
    <x v="8"/>
    <s v="199 Blenkarne Crossroad"/>
    <x v="3"/>
    <x v="3"/>
    <n v="73.454545454545439"/>
    <n v="36.72727272727272"/>
    <n v="195"/>
    <n v="2"/>
    <x v="1"/>
    <n v="484.51912568306011"/>
  </r>
  <r>
    <n v="218773"/>
    <x v="9"/>
    <n v="2"/>
    <n v="233.09090909090909"/>
    <n v="361.5"/>
    <n v="594"/>
    <n v="1741"/>
    <n v="1075"/>
    <n v="171"/>
    <n v="121.3"/>
    <x v="9"/>
    <x v="3"/>
    <n v="3"/>
    <x v="9"/>
    <s v="594 Church Drive"/>
    <x v="3"/>
    <x v="3"/>
    <n v="699.27272727272725"/>
    <n v="466.18181818181819"/>
    <n v="49.7"/>
    <n v="2"/>
    <x v="0"/>
    <n v="100.06432748538012"/>
  </r>
  <r>
    <n v="217676"/>
    <x v="10"/>
    <n v="3"/>
    <n v="233.06060606060601"/>
    <n v="361.5"/>
    <n v="866"/>
    <n v="1733"/>
    <n v="501"/>
    <n v="240"/>
    <n v="110.51948052"/>
    <x v="10"/>
    <x v="5"/>
    <n v="3"/>
    <x v="10"/>
    <s v="866 Thorndike Hill"/>
    <x v="3"/>
    <x v="3"/>
    <n v="699.18181818181802"/>
    <n v="699.18181818181802"/>
    <n v="129.48051948"/>
    <n v="2"/>
    <x v="0"/>
    <n v="193.95021645"/>
  </r>
  <r>
    <n v="217736"/>
    <x v="11"/>
    <n v="2"/>
    <n v="84.285714285714292"/>
    <n v="183"/>
    <n v="247"/>
    <n v="1734"/>
    <n v="703"/>
    <n v="681"/>
    <n v="219.54545454999999"/>
    <x v="11"/>
    <x v="1"/>
    <n v="3"/>
    <x v="11"/>
    <s v="247 Calvin Boulevard"/>
    <x v="1"/>
    <x v="1"/>
    <n v="252.85714285714289"/>
    <n v="168.57142857142858"/>
    <n v="461.45454545000001"/>
    <n v="2"/>
    <x v="0"/>
    <n v="648.76131357562406"/>
  </r>
  <r>
    <n v="218992"/>
    <x v="12"/>
    <n v="1"/>
    <n v="77.363636363636346"/>
    <n v="120"/>
    <n v="443"/>
    <n v="1742"/>
    <n v="1030"/>
    <n v="597"/>
    <n v="423.4"/>
    <x v="12"/>
    <x v="3"/>
    <n v="2"/>
    <x v="12"/>
    <s v="443 Norland Alley"/>
    <x v="3"/>
    <x v="3"/>
    <n v="154.72727272727269"/>
    <n v="77.363636363636346"/>
    <n v="173.60000000000002"/>
    <n v="2"/>
    <x v="1"/>
    <n v="526.07872696817424"/>
  </r>
  <r>
    <n v="219440"/>
    <x v="13"/>
    <n v="2"/>
    <n v="40.318181818181813"/>
    <n v="62.5"/>
    <n v="36"/>
    <n v="1745"/>
    <n v="1056"/>
    <n v="1054.5"/>
    <n v="747.9"/>
    <x v="13"/>
    <x v="3"/>
    <n v="2"/>
    <x v="13"/>
    <s v="36 Norfolk Crossroad"/>
    <x v="1"/>
    <x v="1"/>
    <n v="80.636363636363626"/>
    <n v="80.636363636363626"/>
    <n v="306.60000000000002"/>
    <n v="2"/>
    <x v="0"/>
    <n v="983.57539118065438"/>
  </r>
  <r>
    <n v="217410"/>
    <x v="14"/>
    <n v="1"/>
    <n v="148.6363636363636"/>
    <n v="230.5"/>
    <n v="184"/>
    <n v="1731"/>
    <n v="1089"/>
    <n v="503"/>
    <n v="356.7"/>
    <x v="14"/>
    <x v="3"/>
    <n v="3"/>
    <x v="14"/>
    <s v="184 Linda Street"/>
    <x v="4"/>
    <x v="4"/>
    <n v="445.90909090909076"/>
    <n v="148.6363636363636"/>
    <n v="146.30000000000001"/>
    <n v="2"/>
    <x v="1"/>
    <n v="432.08548707753482"/>
  </r>
  <r>
    <n v="220103"/>
    <x v="15"/>
    <n v="3"/>
    <n v="287.24242424242419"/>
    <n v="445.5"/>
    <n v="409"/>
    <n v="1748"/>
    <n v="1060"/>
    <n v="198"/>
    <n v="140.4"/>
    <x v="15"/>
    <x v="3"/>
    <n v="2"/>
    <x v="15"/>
    <s v="409 Cavendish Rue"/>
    <x v="3"/>
    <x v="3"/>
    <n v="574.48484848484838"/>
    <n v="861.72727272727252"/>
    <n v="57.599999999999994"/>
    <n v="2"/>
    <x v="0"/>
    <n v="127.09090909090909"/>
  </r>
  <r>
    <n v="220259"/>
    <x v="16"/>
    <n v="5"/>
    <n v="75.374774774774778"/>
    <n v="107.25"/>
    <n v="858"/>
    <n v="1750"/>
    <n v="1079"/>
    <n v="120"/>
    <n v="84.333333332999999"/>
    <x v="16"/>
    <x v="3"/>
    <n v="3"/>
    <x v="16"/>
    <s v="858 Argyle Road"/>
    <x v="0"/>
    <x v="0"/>
    <n v="226.12432432432433"/>
    <n v="376.87387387387389"/>
    <n v="35.666666667000001"/>
    <n v="2"/>
    <x v="0"/>
    <n v="49.722222222500008"/>
  </r>
  <r>
    <n v="220316"/>
    <x v="17"/>
    <n v="5"/>
    <n v="54"/>
    <n v="83.75"/>
    <n v="500"/>
    <n v="1751"/>
    <n v="1064"/>
    <n v="120"/>
    <n v="85.1"/>
    <x v="17"/>
    <x v="3"/>
    <n v="2"/>
    <x v="17"/>
    <s v="500 Westcott Road"/>
    <x v="0"/>
    <x v="0"/>
    <n v="108"/>
    <n v="270"/>
    <n v="34.900000000000006"/>
    <n v="2"/>
    <x v="0"/>
    <n v="49.083333333333343"/>
  </r>
  <r>
    <n v="220770"/>
    <x v="18"/>
    <n v="3"/>
    <n v="192.4545454545455"/>
    <n v="298.5"/>
    <n v="591"/>
    <n v="1755"/>
    <n v="1061"/>
    <n v="345"/>
    <n v="244.7"/>
    <x v="18"/>
    <x v="3"/>
    <n v="3"/>
    <x v="18"/>
    <s v="591 Cliff Walk"/>
    <x v="1"/>
    <x v="1"/>
    <n v="577.36363636363649"/>
    <n v="577.36363636363649"/>
    <n v="100.30000000000001"/>
    <n v="2"/>
    <x v="0"/>
    <n v="274.07246376811594"/>
  </r>
  <r>
    <n v="221158"/>
    <x v="19"/>
    <n v="2"/>
    <n v="47.680180180180173"/>
    <n v="149.25"/>
    <n v="8"/>
    <n v="1758"/>
    <n v="1087"/>
    <n v="1075.5"/>
    <n v="755.87837837999996"/>
    <x v="19"/>
    <x v="3"/>
    <n v="3"/>
    <x v="19"/>
    <s v="8 Walnut Drive"/>
    <x v="0"/>
    <x v="0"/>
    <n v="143.04054054054052"/>
    <n v="95.360360360360346"/>
    <n v="319.62162162000004"/>
    <n v="2"/>
    <x v="0"/>
    <n v="1005.2184213500698"/>
  </r>
  <r>
    <n v="221252"/>
    <x v="20"/>
    <n v="2"/>
    <n v="129.80000000000001"/>
    <n v="183"/>
    <n v="170"/>
    <n v="1760"/>
    <n v="1028"/>
    <n v="288"/>
    <n v="204.3"/>
    <x v="20"/>
    <x v="3"/>
    <n v="2"/>
    <x v="20"/>
    <s v="170 Bolton Rue"/>
    <x v="3"/>
    <x v="3"/>
    <n v="259.60000000000002"/>
    <n v="259.60000000000002"/>
    <n v="83.699999999999989"/>
    <n v="2"/>
    <x v="0"/>
    <n v="217.0625"/>
  </r>
  <r>
    <n v="223482"/>
    <x v="21"/>
    <n v="2"/>
    <n v="189.35"/>
    <n v="267"/>
    <n v="425"/>
    <n v="1776"/>
    <n v="321"/>
    <n v="167.5"/>
    <n v="108"/>
    <x v="21"/>
    <x v="4"/>
    <n v="3"/>
    <x v="21"/>
    <s v="425 Woodland Pass"/>
    <x v="2"/>
    <x v="2"/>
    <n v="568.04999999999995"/>
    <n v="378.7"/>
    <n v="59.5"/>
    <n v="2"/>
    <x v="0"/>
    <n v="103.0223880597015"/>
  </r>
  <r>
    <n v="223804"/>
    <x v="22"/>
    <n v="1"/>
    <n v="252.8"/>
    <n v="356.5"/>
    <n v="831"/>
    <n v="1777"/>
    <n v="346"/>
    <n v="230"/>
    <n v="148.27272726999999"/>
    <x v="22"/>
    <x v="4"/>
    <n v="2"/>
    <x v="22"/>
    <s v="831 Ashley Vale"/>
    <x v="2"/>
    <x v="2"/>
    <n v="505.6"/>
    <n v="252.8"/>
    <n v="81.72727273000001"/>
    <n v="2"/>
    <x v="1"/>
    <n v="165.53359683913044"/>
  </r>
  <r>
    <n v="223926"/>
    <x v="23"/>
    <n v="1"/>
    <n v="114.9"/>
    <n v="162"/>
    <n v="115"/>
    <n v="1779"/>
    <n v="186"/>
    <n v="246"/>
    <n v="158.63636364000001"/>
    <x v="23"/>
    <x v="4"/>
    <n v="1"/>
    <x v="23"/>
    <s v="115 Cadogan Route"/>
    <x v="4"/>
    <x v="4"/>
    <n v="114.9"/>
    <n v="114.9"/>
    <n v="87.363636359999987"/>
    <n v="2"/>
    <x v="1"/>
    <n v="181.51367331707317"/>
  </r>
  <r>
    <n v="224118"/>
    <x v="24"/>
    <n v="1"/>
    <n v="204.3"/>
    <n v="288"/>
    <n v="200"/>
    <n v="1780"/>
    <n v="796"/>
    <n v="178"/>
    <n v="81.948051948"/>
    <x v="24"/>
    <x v="5"/>
    <n v="2"/>
    <x v="24"/>
    <s v="200 Lincoln Avenue"/>
    <x v="4"/>
    <x v="4"/>
    <n v="408.6"/>
    <n v="204.3"/>
    <n v="96.051948052"/>
    <n v="2"/>
    <x v="1"/>
    <n v="131.96176856853933"/>
  </r>
  <r>
    <n v="224230"/>
    <x v="25"/>
    <n v="5"/>
    <n v="297.7"/>
    <n v="419.75"/>
    <n v="625"/>
    <n v="1781"/>
    <n v="87"/>
    <n v="243"/>
    <n v="156.68181817999999"/>
    <x v="25"/>
    <x v="4"/>
    <n v="3"/>
    <x v="25"/>
    <s v="625 King Walk"/>
    <x v="0"/>
    <x v="0"/>
    <n v="893.09999999999991"/>
    <n v="1488.5"/>
    <n v="86.318181820000007"/>
    <n v="2"/>
    <x v="0"/>
    <n v="178.52188552263374"/>
  </r>
  <r>
    <n v="224398"/>
    <x v="26"/>
    <n v="1"/>
    <n v="573"/>
    <n v="808"/>
    <n v="402"/>
    <n v="1782"/>
    <n v="68"/>
    <n v="99"/>
    <n v="63.818181817999999"/>
    <x v="26"/>
    <x v="4"/>
    <n v="1"/>
    <x v="26"/>
    <s v="402 Duthie Crossroad"/>
    <x v="4"/>
    <x v="4"/>
    <n v="573"/>
    <n v="573"/>
    <n v="35.181818182000001"/>
    <n v="2"/>
    <x v="1"/>
    <n v="34.537190082828289"/>
  </r>
  <r>
    <n v="528660"/>
    <x v="27"/>
    <n v="2"/>
    <n v="88.742857142857147"/>
    <n v="109.5"/>
    <n v="661"/>
    <n v="4260"/>
    <n v="444"/>
    <n v="219"/>
    <n v="73.952380951999999"/>
    <x v="27"/>
    <x v="1"/>
    <n v="2"/>
    <x v="27"/>
    <s v="661 Angrave Alley"/>
    <x v="1"/>
    <x v="1"/>
    <n v="177.48571428571429"/>
    <n v="177.48571428571429"/>
    <n v="145.047619048"/>
    <n v="2"/>
    <x v="0"/>
    <n v="185.2317895196347"/>
  </r>
  <r>
    <n v="528748"/>
    <x v="28"/>
    <n v="2"/>
    <n v="590.03603603603608"/>
    <n v="839.5"/>
    <n v="473"/>
    <n v="4261"/>
    <n v="372"/>
    <n v="240"/>
    <n v="153.33333332999999"/>
    <x v="28"/>
    <x v="4"/>
    <n v="2"/>
    <x v="28"/>
    <s v="473 Tisbury Road"/>
    <x v="1"/>
    <x v="1"/>
    <n v="1180.0720720720722"/>
    <n v="1180.0720720720722"/>
    <n v="86.666666670000012"/>
    <n v="2"/>
    <x v="0"/>
    <n v="176.1111111125"/>
  </r>
  <r>
    <n v="529108"/>
    <x v="29"/>
    <n v="3"/>
    <n v="81.047619047619051"/>
    <n v="120"/>
    <n v="201"/>
    <n v="4263"/>
    <n v="309"/>
    <n v="360"/>
    <n v="243.14285713999999"/>
    <x v="29"/>
    <x v="4"/>
    <n v="3"/>
    <x v="29"/>
    <s v="201 Commercial Walk"/>
    <x v="1"/>
    <x v="1"/>
    <n v="243.14285714285717"/>
    <n v="243.14285714285717"/>
    <n v="116.85714286000001"/>
    <n v="2"/>
    <x v="0"/>
    <n v="292.46031746111112"/>
  </r>
  <r>
    <n v="528981"/>
    <x v="30"/>
    <n v="1"/>
    <n v="357.37864077669911"/>
    <n v="519"/>
    <n v="795"/>
    <n v="4262"/>
    <n v="200"/>
    <n v="519"/>
    <n v="357.37864078000001"/>
    <x v="30"/>
    <x v="4"/>
    <n v="1"/>
    <x v="30"/>
    <s v="795 Gautrey Hill"/>
    <x v="1"/>
    <x v="1"/>
    <n v="357.37864077669911"/>
    <n v="357.37864077669911"/>
    <n v="161.62135921999999"/>
    <n v="2"/>
    <x v="1"/>
    <n v="450.14091699807324"/>
  </r>
  <r>
    <n v="528497"/>
    <x v="31"/>
    <n v="3"/>
    <n v="19.072327044025151"/>
    <n v="28.5"/>
    <n v="400"/>
    <n v="4259"/>
    <n v="154"/>
    <n v="85.5"/>
    <n v="57.216981132000001"/>
    <x v="31"/>
    <x v="4"/>
    <n v="2"/>
    <x v="31"/>
    <s v="400 Caroline Alley"/>
    <x v="0"/>
    <x v="0"/>
    <n v="38.144654088050302"/>
    <n v="57.216981132075453"/>
    <n v="28.283018867999999"/>
    <n v="2"/>
    <x v="0"/>
    <n v="18.579554231578939"/>
  </r>
  <r>
    <n v="529316"/>
    <x v="32"/>
    <n v="5"/>
    <n v="119.2641509433962"/>
    <n v="178.25"/>
    <n v="912"/>
    <n v="4264"/>
    <n v="182"/>
    <n v="891.25"/>
    <n v="596.32075471999997"/>
    <x v="32"/>
    <x v="4"/>
    <n v="2"/>
    <x v="32"/>
    <s v="912 Angel Rue"/>
    <x v="0"/>
    <x v="0"/>
    <n v="238.52830188679241"/>
    <n v="596.32075471698101"/>
    <n v="294.92924528000003"/>
    <n v="2"/>
    <x v="0"/>
    <n v="824.3416404241234"/>
  </r>
  <r>
    <n v="528248"/>
    <x v="33"/>
    <n v="3"/>
    <n v="38.712938005390832"/>
    <n v="81"/>
    <n v="39"/>
    <n v="4256"/>
    <n v="556"/>
    <n v="243"/>
    <n v="116.13881402"/>
    <x v="33"/>
    <x v="5"/>
    <n v="2"/>
    <x v="33"/>
    <s v="39 Ampton Way"/>
    <x v="0"/>
    <x v="0"/>
    <n v="77.425876010781664"/>
    <n v="116.13881401617249"/>
    <n v="126.86118598"/>
    <n v="2"/>
    <x v="0"/>
    <n v="195.20624937448559"/>
  </r>
  <r>
    <n v="528075"/>
    <x v="34"/>
    <n v="2"/>
    <n v="36.285046728971963"/>
    <n v="54.75"/>
    <n v="436"/>
    <n v="4255"/>
    <n v="93"/>
    <n v="109.5"/>
    <n v="72.570093458000002"/>
    <x v="34"/>
    <x v="4"/>
    <n v="3"/>
    <x v="34"/>
    <s v="436 Garfield Alley"/>
    <x v="0"/>
    <x v="4"/>
    <n v="108.85514018691589"/>
    <n v="72.570093457943926"/>
    <n v="36.929906541999998"/>
    <n v="2"/>
    <x v="0"/>
    <n v="43.225942047488573"/>
  </r>
  <r>
    <n v="529542"/>
    <x v="35"/>
    <n v="3"/>
    <n v="158.27160493827159"/>
    <n v="241"/>
    <n v="888"/>
    <n v="4265"/>
    <n v="336"/>
    <n v="723"/>
    <n v="474.81481480999997"/>
    <x v="35"/>
    <x v="4"/>
    <n v="2"/>
    <x v="35"/>
    <s v="888 Abbots Tunnel"/>
    <x v="2"/>
    <x v="2"/>
    <n v="316.54320987654319"/>
    <n v="474.81481481481478"/>
    <n v="248.18518519000003"/>
    <n v="2"/>
    <x v="0"/>
    <n v="657.32713488105117"/>
  </r>
  <r>
    <n v="528456"/>
    <x v="36"/>
    <n v="3"/>
    <n v="38.848484848484837"/>
    <n v="120.5"/>
    <n v="269"/>
    <n v="4258"/>
    <n v="360"/>
    <n v="178"/>
    <n v="114.77272727"/>
    <x v="36"/>
    <x v="4"/>
    <n v="2"/>
    <x v="36"/>
    <s v="269 Eaglet Street"/>
    <x v="0"/>
    <x v="3"/>
    <n v="77.696969696969674"/>
    <n v="116.5454545454545"/>
    <n v="63.227272729999996"/>
    <n v="2"/>
    <x v="0"/>
    <n v="113.52093973595505"/>
  </r>
  <r>
    <n v="530320"/>
    <x v="37"/>
    <n v="1"/>
    <n v="206"/>
    <n v="319.5"/>
    <n v="815"/>
    <n v="4269"/>
    <n v="190"/>
    <n v="319.5"/>
    <n v="206"/>
    <x v="37"/>
    <x v="4"/>
    <n v="1"/>
    <x v="37"/>
    <s v="815 Rivervalley Street"/>
    <x v="1"/>
    <x v="1"/>
    <n v="206"/>
    <n v="206"/>
    <n v="113.5"/>
    <n v="2"/>
    <x v="1"/>
    <n v="255.0242566510172"/>
  </r>
  <r>
    <n v="530937"/>
    <x v="38"/>
    <n v="1"/>
    <n v="83.887850467289724"/>
    <n v="115"/>
    <n v="992"/>
    <n v="4273"/>
    <n v="1008"/>
    <n v="240"/>
    <n v="174.97196262"/>
    <x v="38"/>
    <x v="3"/>
    <n v="2"/>
    <x v="38"/>
    <s v="992 Bendmore Drive"/>
    <x v="3"/>
    <x v="3"/>
    <n v="167.77570093457945"/>
    <n v="83.887850467289724"/>
    <n v="65.028037380000001"/>
    <n v="2"/>
    <x v="1"/>
    <n v="167.09501557499999"/>
  </r>
  <r>
    <n v="530631"/>
    <x v="39"/>
    <n v="3"/>
    <n v="1254.712962962963"/>
    <n v="1737"/>
    <n v="869"/>
    <n v="4271"/>
    <n v="334"/>
    <n v="240"/>
    <n v="157.59259259000001"/>
    <x v="39"/>
    <x v="4"/>
    <n v="2"/>
    <x v="39"/>
    <s v="869 Cedarne Route"/>
    <x v="2"/>
    <x v="2"/>
    <n v="2509.4259259259261"/>
    <n v="3764.1388888888891"/>
    <n v="82.40740740999999"/>
    <n v="2"/>
    <x v="0"/>
    <n v="174.33641975416666"/>
  </r>
  <r>
    <n v="531053"/>
    <x v="40"/>
    <n v="2"/>
    <n v="1254.712962962963"/>
    <n v="1737"/>
    <n v="922"/>
    <n v="4274"/>
    <n v="38"/>
    <n v="471"/>
    <n v="371.11111111000002"/>
    <x v="40"/>
    <x v="2"/>
    <n v="2"/>
    <x v="40"/>
    <s v="922 King William Way"/>
    <x v="1"/>
    <x v="1"/>
    <n v="2509.4259259259261"/>
    <n v="2509.4259259259261"/>
    <n v="99.888888889999976"/>
    <n v="2"/>
    <x v="0"/>
    <n v="392.20783203609341"/>
  </r>
  <r>
    <n v="531448"/>
    <x v="41"/>
    <n v="1"/>
    <n v="73.513513513513502"/>
    <n v="115"/>
    <n v="649"/>
    <n v="4276"/>
    <n v="308"/>
    <n v="115"/>
    <n v="73.513513513999996"/>
    <x v="41"/>
    <x v="4"/>
    <n v="2"/>
    <x v="41"/>
    <s v="649 Arline Grove"/>
    <x v="1"/>
    <x v="1"/>
    <n v="147.027027027027"/>
    <n v="73.513513513513502"/>
    <n v="41.486486486000004"/>
    <n v="2"/>
    <x v="1"/>
    <n v="51.075205640000007"/>
  </r>
  <r>
    <n v="531229"/>
    <x v="42"/>
    <n v="2"/>
    <n v="459.05405405405401"/>
    <n v="718.5"/>
    <n v="845"/>
    <n v="4275"/>
    <n v="381"/>
    <n v="1437"/>
    <n v="918.10810810999999"/>
    <x v="42"/>
    <x v="4"/>
    <n v="1"/>
    <x v="42"/>
    <s v="845 Durnford Alley"/>
    <x v="4"/>
    <x v="4"/>
    <n v="459.05405405405401"/>
    <n v="918.10810810810801"/>
    <n v="518.89189189000001"/>
    <n v="2"/>
    <x v="0"/>
    <n v="1373.1093870487125"/>
  </r>
  <r>
    <n v="530838"/>
    <x v="43"/>
    <n v="5"/>
    <n v="36.738738738738739"/>
    <n v="57.5"/>
    <n v="164"/>
    <n v="4272"/>
    <n v="368"/>
    <n v="287.5"/>
    <n v="183.69369369"/>
    <x v="43"/>
    <x v="4"/>
    <n v="2"/>
    <x v="43"/>
    <s v="164 Chester Drive"/>
    <x v="0"/>
    <x v="0"/>
    <n v="73.477477477477478"/>
    <n v="183.69369369369369"/>
    <n v="103.80630631"/>
    <n v="2"/>
    <x v="0"/>
    <n v="223.60654132521739"/>
  </r>
  <r>
    <n v="522881"/>
    <x v="44"/>
    <n v="1"/>
    <n v="42.128712871287128"/>
    <n v="60"/>
    <n v="889"/>
    <n v="4215"/>
    <n v="390"/>
    <n v="60"/>
    <n v="42.128712870999998"/>
    <x v="44"/>
    <x v="4"/>
    <n v="2"/>
    <x v="44"/>
    <s v="889 Carlton Route"/>
    <x v="4"/>
    <x v="1"/>
    <n v="84.257425742574256"/>
    <n v="42.128712871287128"/>
    <n v="17.871287129000002"/>
    <n v="2"/>
    <x v="1"/>
    <n v="-10.21452145166667"/>
  </r>
  <r>
    <n v="524947"/>
    <x v="45"/>
    <n v="1"/>
    <n v="83.774509803921575"/>
    <n v="120.5"/>
    <n v="527"/>
    <n v="4230"/>
    <n v="183"/>
    <n v="120.5"/>
    <n v="83.774509804000004"/>
    <x v="45"/>
    <x v="4"/>
    <n v="3"/>
    <x v="45"/>
    <s v="527 Coborn Drive"/>
    <x v="4"/>
    <x v="4"/>
    <n v="251.32352941176472"/>
    <n v="83.774509803921575"/>
    <n v="36.725490195999996"/>
    <n v="2"/>
    <x v="1"/>
    <n v="50.977585224896259"/>
  </r>
  <r>
    <n v="516004"/>
    <x v="46"/>
    <n v="1"/>
    <n v="21.7843137254902"/>
    <n v="28.5"/>
    <n v="56"/>
    <n v="4154"/>
    <n v="1095"/>
    <n v="28.5"/>
    <n v="21.784313725000001"/>
    <x v="46"/>
    <x v="3"/>
    <n v="3"/>
    <x v="46"/>
    <s v="56 Coley Boulevard"/>
    <x v="4"/>
    <x v="4"/>
    <n v="65.352941176470608"/>
    <n v="21.7843137254902"/>
    <n v="6.7156862749999995"/>
    <n v="2"/>
    <x v="1"/>
    <n v="-47.936188508771934"/>
  </r>
  <r>
    <n v="522932"/>
    <x v="47"/>
    <n v="1"/>
    <n v="405.38235294117652"/>
    <n v="530"/>
    <n v="897"/>
    <n v="4216"/>
    <n v="986"/>
    <n v="530"/>
    <n v="405.38235293999998"/>
    <x v="47"/>
    <x v="3"/>
    <n v="1"/>
    <x v="47"/>
    <s v="897 Chapel Avenue"/>
    <x v="4"/>
    <x v="4"/>
    <n v="405.38235294117652"/>
    <n v="405.38235294117652"/>
    <n v="124.61764706000002"/>
    <n v="2"/>
    <x v="1"/>
    <n v="453.51276359622642"/>
  </r>
  <r>
    <n v="530489"/>
    <x v="48"/>
    <n v="1"/>
    <n v="126.0194174757282"/>
    <n v="183"/>
    <n v="318"/>
    <n v="4270"/>
    <n v="158"/>
    <n v="183"/>
    <n v="126.01941748"/>
    <x v="48"/>
    <x v="4"/>
    <n v="2"/>
    <x v="48"/>
    <s v="318 Union Tunnel"/>
    <x v="4"/>
    <x v="4"/>
    <n v="252.03883495145641"/>
    <n v="126.0194174757282"/>
    <n v="56.980582519999999"/>
    <n v="2"/>
    <x v="1"/>
    <n v="114.13693033879781"/>
  </r>
  <r>
    <n v="522055"/>
    <x v="49"/>
    <n v="1"/>
    <n v="41.310679611650478"/>
    <n v="60"/>
    <n v="895"/>
    <n v="4208"/>
    <n v="159"/>
    <n v="60"/>
    <n v="41.310679612000001"/>
    <x v="49"/>
    <x v="4"/>
    <n v="3"/>
    <x v="49"/>
    <s v="895 Thrale Route"/>
    <x v="4"/>
    <x v="2"/>
    <n v="123.93203883495144"/>
    <n v="41.310679611650478"/>
    <n v="18.689320387999999"/>
    <n v="2"/>
    <x v="1"/>
    <n v="-8.8511326866666735"/>
  </r>
  <r>
    <n v="520153"/>
    <x v="50"/>
    <n v="1"/>
    <n v="72.807692307692307"/>
    <n v="89"/>
    <n v="270"/>
    <n v="4189"/>
    <n v="205"/>
    <n v="89"/>
    <n v="72.807692308"/>
    <x v="50"/>
    <x v="2"/>
    <n v="3"/>
    <x v="50"/>
    <s v="270 Arbutus Grove"/>
    <x v="4"/>
    <x v="4"/>
    <n v="218.42307692307691"/>
    <n v="72.807692307692307"/>
    <n v="16.192307692"/>
    <n v="2"/>
    <x v="1"/>
    <n v="7.1936041483146056"/>
  </r>
  <r>
    <n v="526624"/>
    <x v="51"/>
    <n v="1"/>
    <n v="26.666666666666661"/>
    <n v="115"/>
    <n v="383"/>
    <n v="4243"/>
    <n v="1018"/>
    <n v="297"/>
    <n v="227.11764706"/>
    <x v="51"/>
    <x v="3"/>
    <n v="2"/>
    <x v="51"/>
    <s v="383 Linden Way"/>
    <x v="3"/>
    <x v="3"/>
    <n v="53.333333333333321"/>
    <n v="26.666666666666661"/>
    <n v="69.882352940000004"/>
    <n v="2"/>
    <x v="1"/>
    <n v="220.52941176430977"/>
  </r>
  <r>
    <n v="527458"/>
    <x v="52"/>
    <n v="3"/>
    <n v="83.431372549019613"/>
    <n v="120"/>
    <n v="305"/>
    <n v="4249"/>
    <n v="1069"/>
    <n v="576"/>
    <n v="440.53921568999999"/>
    <x v="52"/>
    <x v="3"/>
    <n v="3"/>
    <x v="52"/>
    <s v="305 Balham Avenue"/>
    <x v="3"/>
    <x v="3"/>
    <n v="250.29411764705884"/>
    <n v="250.29411764705884"/>
    <n v="135.46078431000001"/>
    <n v="2"/>
    <x v="0"/>
    <n v="499.51749727604169"/>
  </r>
  <r>
    <n v="527825"/>
    <x v="53"/>
    <n v="2"/>
    <n v="247.89215686274511"/>
    <n v="356.5"/>
    <n v="882"/>
    <n v="4253"/>
    <n v="1053"/>
    <n v="114"/>
    <n v="87.245098038999998"/>
    <x v="53"/>
    <x v="3"/>
    <n v="3"/>
    <x v="53"/>
    <s v="882 Calvin Boulevard"/>
    <x v="3"/>
    <x v="3"/>
    <n v="743.67647058823536"/>
    <n v="495.78431372549022"/>
    <n v="26.754901961000002"/>
    <n v="2"/>
    <x v="0"/>
    <n v="37.469212246491239"/>
  </r>
  <r>
    <n v="526957"/>
    <x v="54"/>
    <n v="1"/>
    <n v="55.480582524271853"/>
    <n v="73.25"/>
    <n v="149"/>
    <n v="4246"/>
    <n v="377"/>
    <n v="49.5"/>
    <n v="34.077669903"/>
    <x v="54"/>
    <x v="4"/>
    <n v="1"/>
    <x v="54"/>
    <s v="149 Thurloe Drive"/>
    <x v="4"/>
    <x v="4"/>
    <n v="55.480582524271853"/>
    <n v="55.480582524271853"/>
    <n v="15.422330097"/>
    <n v="2"/>
    <x v="1"/>
    <n v="-19.343777581818173"/>
  </r>
  <r>
    <n v="526402"/>
    <x v="55"/>
    <n v="2"/>
    <n v="1315.6213592233009"/>
    <n v="1737"/>
    <n v="788"/>
    <n v="4241"/>
    <n v="1059"/>
    <n v="3474"/>
    <n v="2631.2427183999998"/>
    <x v="55"/>
    <x v="3"/>
    <n v="3"/>
    <x v="55"/>
    <s v="788 Cobden Lane"/>
    <x v="3"/>
    <x v="3"/>
    <n v="3946.8640776699031"/>
    <n v="2631.2427184466019"/>
    <n v="842.75728160000017"/>
    <n v="2"/>
    <x v="0"/>
    <n v="3398.2589891076568"/>
  </r>
  <r>
    <n v="527778"/>
    <x v="56"/>
    <n v="3"/>
    <n v="56.564956079519177"/>
    <n v="115"/>
    <n v="525"/>
    <n v="4252"/>
    <n v="1050"/>
    <n v="2424"/>
    <n v="1835.9320388000001"/>
    <x v="56"/>
    <x v="3"/>
    <n v="2"/>
    <x v="56"/>
    <s v="525 Maple Hill"/>
    <x v="1"/>
    <x v="1"/>
    <n v="113.12991215903835"/>
    <n v="169.69486823855755"/>
    <n v="588.0679611999999"/>
    <n v="2"/>
    <x v="0"/>
    <n v="2348.2602294224421"/>
  </r>
  <r>
    <n v="429833"/>
    <x v="57"/>
    <n v="3"/>
    <n v="81.047619047619051"/>
    <n v="120"/>
    <n v="502"/>
    <n v="3446"/>
    <n v="327"/>
    <n v="360"/>
    <n v="243.14285713999999"/>
    <x v="57"/>
    <x v="4"/>
    <n v="3"/>
    <x v="57"/>
    <s v="502 Gavel Walk"/>
    <x v="3"/>
    <x v="3"/>
    <n v="243.14285714285717"/>
    <n v="243.14285714285717"/>
    <n v="116.85714286000001"/>
    <n v="2"/>
    <x v="0"/>
    <n v="292.46031746111112"/>
  </r>
  <r>
    <n v="428795"/>
    <x v="58"/>
    <n v="2"/>
    <n v="72.452380952380949"/>
    <n v="107.25"/>
    <n v="705"/>
    <n v="3438"/>
    <n v="163"/>
    <n v="214.5"/>
    <n v="144.90476190000001"/>
    <x v="58"/>
    <x v="4"/>
    <n v="3"/>
    <x v="58"/>
    <s v="705 King Boulevard"/>
    <x v="0"/>
    <x v="0"/>
    <n v="217.35714285714283"/>
    <n v="144.9047619047619"/>
    <n v="69.595238099999989"/>
    <n v="2"/>
    <x v="0"/>
    <n v="146.94533244755246"/>
  </r>
  <r>
    <n v="527209"/>
    <x v="59"/>
    <n v="1"/>
    <n v="42.128712871287128"/>
    <n v="120"/>
    <n v="641"/>
    <n v="4248"/>
    <n v="1083"/>
    <n v="1679"/>
    <n v="1296.9108911000001"/>
    <x v="59"/>
    <x v="3"/>
    <n v="3"/>
    <x v="59"/>
    <s v="641 Aspen Street"/>
    <x v="4"/>
    <x v="4"/>
    <n v="126.38613861386139"/>
    <n v="42.128712871287128"/>
    <n v="382.08910889999993"/>
    <n v="2"/>
    <x v="1"/>
    <n v="1601.7569451399643"/>
  </r>
  <r>
    <n v="532205"/>
    <x v="60"/>
    <n v="2"/>
    <n v="431.98130841121502"/>
    <n v="592.5"/>
    <n v="33"/>
    <n v="4280"/>
    <n v="118"/>
    <n v="99"/>
    <n v="21.869158879"/>
    <x v="60"/>
    <x v="0"/>
    <n v="2"/>
    <x v="60"/>
    <s v="33 Dunstable Pass"/>
    <x v="2"/>
    <x v="2"/>
    <n v="863.96261682243005"/>
    <n v="863.96261682243005"/>
    <n v="77.130841121000003"/>
    <n v="2"/>
    <x v="0"/>
    <n v="76.909940526262631"/>
  </r>
  <r>
    <n v="532658"/>
    <x v="61"/>
    <n v="3"/>
    <n v="81.23123123123122"/>
    <n v="178"/>
    <n v="204"/>
    <n v="4284"/>
    <n v="184"/>
    <n v="398"/>
    <n v="254.32432431999999"/>
    <x v="61"/>
    <x v="4"/>
    <n v="1"/>
    <x v="61"/>
    <s v="204 Blore Road"/>
    <x v="2"/>
    <x v="2"/>
    <n v="81.23123123123122"/>
    <n v="243.69369369369366"/>
    <n v="143.67567568000001"/>
    <n v="2"/>
    <x v="0"/>
    <n v="334.09941600000002"/>
  </r>
  <r>
    <n v="532876"/>
    <x v="62"/>
    <n v="2"/>
    <n v="378.5585585585585"/>
    <n v="592.5"/>
    <n v="254"/>
    <n v="4285"/>
    <n v="188"/>
    <n v="1185"/>
    <n v="757.11711711999999"/>
    <x v="62"/>
    <x v="4"/>
    <n v="1"/>
    <x v="62"/>
    <s v="254 Spruce Way"/>
    <x v="3"/>
    <x v="3"/>
    <n v="378.5585585585585"/>
    <n v="757.117117117117"/>
    <n v="427.88288288000001"/>
    <n v="2"/>
    <x v="0"/>
    <n v="1121.1082601586497"/>
  </r>
  <r>
    <n v="533546"/>
    <x v="63"/>
    <n v="3"/>
    <n v="35.792880258899672"/>
    <n v="52"/>
    <n v="630"/>
    <n v="4288"/>
    <n v="61"/>
    <n v="156"/>
    <n v="107.37864078"/>
    <x v="63"/>
    <x v="4"/>
    <n v="3"/>
    <x v="63"/>
    <s v="630 Colombo Way"/>
    <x v="2"/>
    <x v="2"/>
    <n v="107.37864077669902"/>
    <n v="107.37864077669902"/>
    <n v="48.621359220000002"/>
    <n v="2"/>
    <x v="0"/>
    <n v="87.167537961538457"/>
  </r>
  <r>
    <n v="533441"/>
    <x v="64"/>
    <n v="2"/>
    <n v="81.047619047619037"/>
    <n v="120"/>
    <n v="24"/>
    <n v="4287"/>
    <n v="176"/>
    <n v="240"/>
    <n v="162.09523809999999"/>
    <x v="64"/>
    <x v="4"/>
    <n v="2"/>
    <x v="64"/>
    <s v="24 Anns Alley"/>
    <x v="2"/>
    <x v="3"/>
    <n v="162.09523809523807"/>
    <n v="162.09523809523807"/>
    <n v="77.904761900000011"/>
    <n v="2"/>
    <x v="0"/>
    <n v="172.46031745833335"/>
  </r>
  <r>
    <n v="443856"/>
    <x v="65"/>
    <n v="2"/>
    <n v="783.46190476190486"/>
    <n v="1054.5"/>
    <n v="847"/>
    <n v="3556"/>
    <n v="1047"/>
    <n v="482"/>
    <n v="358.07619047999998"/>
    <x v="65"/>
    <x v="3"/>
    <n v="3"/>
    <x v="65"/>
    <s v="847 Lonsdale Boulevard"/>
    <x v="1"/>
    <x v="1"/>
    <n v="2350.3857142857146"/>
    <n v="1566.9238095238097"/>
    <n v="123.92380952000002"/>
    <n v="2"/>
    <x v="0"/>
    <n v="407.7103339253112"/>
  </r>
  <r>
    <n v="445149"/>
    <x v="66"/>
    <n v="1"/>
    <n v="81.400000000000006"/>
    <n v="109.5"/>
    <n v="642"/>
    <n v="3567"/>
    <n v="290"/>
    <n v="360"/>
    <n v="121.57142856999999"/>
    <x v="66"/>
    <x v="1"/>
    <n v="2"/>
    <x v="66"/>
    <s v="642 Enford Road"/>
    <x v="3"/>
    <x v="3"/>
    <n v="162.80000000000001"/>
    <n v="81.400000000000006"/>
    <n v="238.42857143000001"/>
    <n v="2"/>
    <x v="1"/>
    <n v="326.23015873055556"/>
  </r>
  <r>
    <n v="446847"/>
    <x v="67"/>
    <n v="3"/>
    <n v="186.8603174603175"/>
    <n v="251.5"/>
    <n v="326"/>
    <n v="3581"/>
    <n v="320"/>
    <n v="171"/>
    <n v="115.52380952"/>
    <x v="67"/>
    <x v="4"/>
    <n v="2"/>
    <x v="67"/>
    <s v="326 Argyle Vale"/>
    <x v="2"/>
    <x v="2"/>
    <n v="373.72063492063501"/>
    <n v="560.58095238095257"/>
    <n v="55.47619048"/>
    <n v="2"/>
    <x v="0"/>
    <n v="103.44221665497076"/>
  </r>
  <r>
    <n v="446162"/>
    <x v="68"/>
    <n v="2"/>
    <n v="845.90000000000009"/>
    <n v="1138.5"/>
    <n v="801"/>
    <n v="3575"/>
    <n v="171"/>
    <n v="172.5"/>
    <n v="116.47619048"/>
    <x v="68"/>
    <x v="4"/>
    <n v="3"/>
    <x v="68"/>
    <s v="801 Queen Avenue"/>
    <x v="4"/>
    <x v="4"/>
    <n v="2537.7000000000003"/>
    <n v="1691.8000000000002"/>
    <n v="56.02380952"/>
    <n v="2"/>
    <x v="0"/>
    <n v="104.97757073623188"/>
  </r>
  <r>
    <n v="444206"/>
    <x v="69"/>
    <n v="5"/>
    <n v="60.18571428571429"/>
    <n v="81"/>
    <n v="784"/>
    <n v="3560"/>
    <n v="325"/>
    <n v="258.75"/>
    <n v="174.76190475999999"/>
    <x v="69"/>
    <x v="4"/>
    <n v="3"/>
    <x v="69"/>
    <s v="784 Geffrye Alley"/>
    <x v="0"/>
    <x v="0"/>
    <n v="180.55714285714288"/>
    <n v="300.92857142857144"/>
    <n v="83.988095240000007"/>
    <n v="2"/>
    <x v="0"/>
    <n v="191.20916724251208"/>
  </r>
  <r>
    <n v="448834"/>
    <x v="70"/>
    <n v="2"/>
    <n v="60.18571428571429"/>
    <n v="81"/>
    <n v="659"/>
    <n v="3599"/>
    <n v="384"/>
    <n v="361.5"/>
    <n v="244.19047619"/>
    <x v="70"/>
    <x v="4"/>
    <n v="2"/>
    <x v="70"/>
    <s v="659 King Hill"/>
    <x v="0"/>
    <x v="0"/>
    <n v="120.37142857142858"/>
    <n v="120.37142857142858"/>
    <n v="117.30952381"/>
    <n v="2"/>
    <x v="0"/>
    <n v="293.95076730567081"/>
  </r>
  <r>
    <n v="448390"/>
    <x v="71"/>
    <n v="2"/>
    <n v="42.128712871287128"/>
    <n v="120"/>
    <n v="610"/>
    <n v="3592"/>
    <n v="739"/>
    <n v="240"/>
    <n v="84.257425742999999"/>
    <x v="71"/>
    <x v="1"/>
    <n v="3"/>
    <x v="71"/>
    <s v="610 Sheraton Pass"/>
    <x v="4"/>
    <x v="4"/>
    <n v="126.38613861386139"/>
    <n v="84.257425742574256"/>
    <n v="155.742574257"/>
    <n v="2"/>
    <x v="0"/>
    <n v="204.89273927375001"/>
  </r>
  <r>
    <n v="445304"/>
    <x v="72"/>
    <n v="2"/>
    <n v="74.970873786407779"/>
    <n v="99"/>
    <n v="932"/>
    <n v="3568"/>
    <n v="185"/>
    <n v="414"/>
    <n v="285.04854368999997"/>
    <x v="72"/>
    <x v="4"/>
    <n v="1"/>
    <x v="72"/>
    <s v="932 Timber Boulevard"/>
    <x v="2"/>
    <x v="2"/>
    <n v="74.970873786407779"/>
    <n v="149.94174757281556"/>
    <n v="128.95145631000003"/>
    <n v="2"/>
    <x v="0"/>
    <n v="345.14769476086957"/>
  </r>
  <r>
    <n v="446309"/>
    <x v="73"/>
    <n v="2"/>
    <n v="90.883495145631059"/>
    <n v="120"/>
    <n v="267"/>
    <n v="3576"/>
    <n v="510"/>
    <n v="115"/>
    <n v="56.588072122"/>
    <x v="73"/>
    <x v="5"/>
    <n v="2"/>
    <x v="73"/>
    <s v="267 Abourne Crossroad"/>
    <x v="3"/>
    <x v="3"/>
    <n v="181.76699029126212"/>
    <n v="181.76699029126212"/>
    <n v="58.411927878"/>
    <n v="2"/>
    <x v="0"/>
    <n v="65.792980763478255"/>
  </r>
  <r>
    <n v="448371"/>
    <x v="74"/>
    <n v="2"/>
    <n v="130.6650485436893"/>
    <n v="172.5"/>
    <n v="538"/>
    <n v="3591"/>
    <n v="976"/>
    <n v="545"/>
    <n v="125.08090615"/>
    <x v="74"/>
    <x v="0"/>
    <n v="2"/>
    <x v="74"/>
    <s v="538 Lexington Rue"/>
    <x v="3"/>
    <x v="3"/>
    <n v="261.33009708737859"/>
    <n v="261.33009708737859"/>
    <n v="419.91909384999997"/>
    <n v="2"/>
    <x v="0"/>
    <n v="522.04937501834866"/>
  </r>
  <r>
    <n v="449885"/>
    <x v="75"/>
    <n v="3"/>
    <n v="482.82051282051287"/>
    <n v="708"/>
    <n v="438"/>
    <n v="3606"/>
    <n v="89"/>
    <n v="2124"/>
    <n v="1448.4615385"/>
    <x v="75"/>
    <x v="4"/>
    <n v="1"/>
    <x v="75"/>
    <s v="438 Arthur Alley"/>
    <x v="1"/>
    <x v="3"/>
    <n v="482.82051282051287"/>
    <n v="1448.4615384615386"/>
    <n v="675.53846150000004"/>
    <n v="2"/>
    <x v="0"/>
    <n v="2055.8050123116759"/>
  </r>
  <r>
    <n v="448744"/>
    <x v="76"/>
    <n v="3"/>
    <n v="317.93203883495153"/>
    <n v="419.75"/>
    <n v="885"/>
    <n v="3598"/>
    <n v="890"/>
    <n v="287.5"/>
    <n v="65.987055015999999"/>
    <x v="76"/>
    <x v="0"/>
    <n v="2"/>
    <x v="76"/>
    <s v="885 Abbey Tunnel"/>
    <x v="0"/>
    <x v="4"/>
    <n v="635.86407766990305"/>
    <n v="953.79611650485458"/>
    <n v="221.512944984"/>
    <n v="2"/>
    <x v="0"/>
    <n v="264.54798086400001"/>
  </r>
  <r>
    <n v="446052"/>
    <x v="77"/>
    <n v="2"/>
    <n v="428.68269230769232"/>
    <n v="571.5"/>
    <n v="544"/>
    <n v="3574"/>
    <n v="294"/>
    <n v="172.5"/>
    <n v="58.798076923000004"/>
    <x v="77"/>
    <x v="1"/>
    <n v="2"/>
    <x v="77"/>
    <s v="544 Aberavon Drive"/>
    <x v="3"/>
    <x v="3"/>
    <n v="857.36538461538464"/>
    <n v="857.36538461538464"/>
    <n v="113.701923077"/>
    <n v="2"/>
    <x v="0"/>
    <n v="138.41415830550724"/>
  </r>
  <r>
    <n v="448466"/>
    <x v="78"/>
    <n v="2"/>
    <n v="127.6633663366337"/>
    <n v="151.5"/>
    <n v="16"/>
    <n v="3593"/>
    <n v="462"/>
    <n v="303"/>
    <n v="255.32673267000001"/>
    <x v="78"/>
    <x v="2"/>
    <n v="1"/>
    <x v="78"/>
    <s v="16 Carlisle Street"/>
    <x v="2"/>
    <x v="2"/>
    <n v="127.6633663366337"/>
    <n v="255.3267326732674"/>
    <n v="47.673267329999987"/>
    <n v="2"/>
    <x v="0"/>
    <n v="218.73375159405941"/>
  </r>
  <r>
    <n v="447324"/>
    <x v="79"/>
    <n v="2"/>
    <n v="82.927184466019426"/>
    <n v="109.5"/>
    <n v="766"/>
    <n v="3584"/>
    <n v="275"/>
    <n v="125"/>
    <n v="43.058252426999999"/>
    <x v="79"/>
    <x v="1"/>
    <n v="3"/>
    <x v="79"/>
    <s v="766 Earl Rise Walk"/>
    <x v="4"/>
    <x v="4"/>
    <n v="248.78155339805829"/>
    <n v="165.85436893203885"/>
    <n v="81.941747573000001"/>
    <n v="2"/>
    <x v="0"/>
    <n v="90.553398058400006"/>
  </r>
  <r>
    <n v="449201"/>
    <x v="80"/>
    <n v="1"/>
    <n v="1315.6213592233009"/>
    <n v="1737"/>
    <n v="687"/>
    <n v="3602"/>
    <n v="322"/>
    <n v="125"/>
    <n v="86.116504853999999"/>
    <x v="80"/>
    <x v="4"/>
    <n v="2"/>
    <x v="80"/>
    <s v="687 Blackheath Drive"/>
    <x v="2"/>
    <x v="3"/>
    <n v="2631.2427184466019"/>
    <n v="1315.6213592233009"/>
    <n v="38.883495146000001"/>
    <n v="2"/>
    <x v="1"/>
    <n v="56.106796116800012"/>
  </r>
  <r>
    <n v="444972"/>
    <x v="81"/>
    <n v="3"/>
    <n v="295.01801801801798"/>
    <n v="419.75"/>
    <n v="972"/>
    <n v="3565"/>
    <n v="104"/>
    <n v="115"/>
    <n v="24.489489489"/>
    <x v="81"/>
    <x v="0"/>
    <n v="2"/>
    <x v="81"/>
    <s v="972 Thorndike Way"/>
    <x v="0"/>
    <x v="0"/>
    <n v="590.03603603603597"/>
    <n v="885.05405405405395"/>
    <n v="90.510510511000007"/>
    <n v="2"/>
    <x v="0"/>
    <n v="93.704791748695655"/>
  </r>
  <r>
    <n v="450092"/>
    <x v="82"/>
    <n v="1"/>
    <n v="50.628571428571433"/>
    <n v="62.5"/>
    <n v="674"/>
    <n v="3608"/>
    <n v="470"/>
    <n v="62.5"/>
    <n v="50.628571428999997"/>
    <x v="82"/>
    <x v="2"/>
    <n v="2"/>
    <x v="82"/>
    <s v="674 Cheney Walk"/>
    <x v="3"/>
    <x v="3"/>
    <n v="101.25714285714287"/>
    <n v="50.628571428571433"/>
    <n v="11.871428571000003"/>
    <n v="2"/>
    <x v="1"/>
    <n v="-18.505714286399993"/>
  </r>
  <r>
    <n v="445882"/>
    <x v="83"/>
    <n v="3"/>
    <n v="133.23432343234319"/>
    <n v="172.5"/>
    <n v="359"/>
    <n v="3571"/>
    <n v="345"/>
    <n v="115"/>
    <n v="80.792079208000004"/>
    <x v="83"/>
    <x v="4"/>
    <n v="3"/>
    <x v="83"/>
    <s v="359 Camberwell Walk"/>
    <x v="3"/>
    <x v="2"/>
    <n v="399.70297029702954"/>
    <n v="399.70297029702954"/>
    <n v="34.207920791999996"/>
    <n v="2"/>
    <x v="0"/>
    <n v="44.746018079999999"/>
  </r>
  <r>
    <n v="264908"/>
    <x v="84"/>
    <n v="1"/>
    <n v="131.31428571428569"/>
    <n v="162"/>
    <n v="212"/>
    <n v="2100"/>
    <n v="52"/>
    <n v="219"/>
    <n v="147.90476190000001"/>
    <x v="84"/>
    <x v="4"/>
    <n v="2"/>
    <x v="84"/>
    <s v="212 Coalecroft Avenue"/>
    <x v="3"/>
    <x v="3"/>
    <n v="262.62857142857138"/>
    <n v="131.31428571428569"/>
    <n v="71.095238099999989"/>
    <n v="2"/>
    <x v="1"/>
    <n v="151.4635790410959"/>
  </r>
  <r>
    <n v="265594"/>
    <x v="85"/>
    <n v="1"/>
    <n v="113.1428571428571"/>
    <n v="167.5"/>
    <n v="550"/>
    <n v="2105"/>
    <n v="333"/>
    <n v="167.5"/>
    <n v="113.14285714"/>
    <x v="85"/>
    <x v="4"/>
    <n v="3"/>
    <x v="85"/>
    <s v="550 Eaglet Pass"/>
    <x v="1"/>
    <x v="1"/>
    <n v="339.42857142857127"/>
    <n v="113.1428571428571"/>
    <n v="54.357142859999996"/>
    <n v="2"/>
    <x v="1"/>
    <n v="99.952025588059698"/>
  </r>
  <r>
    <n v="265789"/>
    <x v="86"/>
    <n v="2"/>
    <n v="21.11904761904762"/>
    <n v="31.25"/>
    <n v="717"/>
    <n v="2106"/>
    <n v="380"/>
    <n v="62.5"/>
    <n v="42.238095238"/>
    <x v="86"/>
    <x v="4"/>
    <n v="2"/>
    <x v="86"/>
    <s v="717 Pine Avenue"/>
    <x v="0"/>
    <x v="0"/>
    <n v="42.238095238095241"/>
    <n v="42.238095238095241"/>
    <n v="20.261904762"/>
    <n v="2"/>
    <x v="0"/>
    <n v="-5.0809523807999994"/>
  </r>
  <r>
    <n v="535108"/>
    <x v="87"/>
    <n v="1"/>
    <n v="198.34951456310679"/>
    <n v="288"/>
    <n v="734"/>
    <n v="4300"/>
    <n v="355"/>
    <n v="288"/>
    <n v="198.34951455999999"/>
    <x v="87"/>
    <x v="4"/>
    <n v="3"/>
    <x v="87"/>
    <s v="734 Norland Drive"/>
    <x v="4"/>
    <x v="4"/>
    <n v="595.04854368932035"/>
    <n v="198.34951456310679"/>
    <n v="89.650485440000011"/>
    <n v="2"/>
    <x v="1"/>
    <n v="219.12864077777778"/>
  </r>
  <r>
    <n v="533948"/>
    <x v="88"/>
    <n v="2"/>
    <n v="84.603960396039611"/>
    <n v="241"/>
    <n v="241"/>
    <n v="4291"/>
    <n v="405"/>
    <n v="482"/>
    <n v="169.20792079"/>
    <x v="88"/>
    <x v="1"/>
    <n v="1"/>
    <x v="88"/>
    <s v="241 Lonsdale Pass"/>
    <x v="1"/>
    <x v="1"/>
    <n v="84.603960396039611"/>
    <n v="169.20792079207922"/>
    <n v="312.79207921"/>
    <n v="2"/>
    <x v="0"/>
    <n v="446.89462224273859"/>
  </r>
  <r>
    <n v="380247"/>
    <x v="89"/>
    <n v="1"/>
    <n v="80.792079207920793"/>
    <n v="115"/>
    <n v="314"/>
    <n v="3038"/>
    <n v="57"/>
    <n v="115"/>
    <n v="80.792079208000004"/>
    <x v="89"/>
    <x v="4"/>
    <n v="3"/>
    <x v="89"/>
    <s v="314 Longmoore Alley"/>
    <x v="4"/>
    <x v="1"/>
    <n v="242.37623762376239"/>
    <n v="80.792079207920793"/>
    <n v="34.207920791999996"/>
    <n v="2"/>
    <x v="1"/>
    <n v="44.746018079999999"/>
  </r>
  <r>
    <n v="391550"/>
    <x v="90"/>
    <n v="1"/>
    <n v="42.32380952380953"/>
    <n v="57"/>
    <n v="84"/>
    <n v="3127"/>
    <n v="385"/>
    <n v="151.5"/>
    <n v="102.28571429"/>
    <x v="90"/>
    <x v="4"/>
    <n v="1"/>
    <x v="90"/>
    <s v="84 Baltic Pass"/>
    <x v="2"/>
    <x v="2"/>
    <n v="42.32380952380953"/>
    <n v="42.32380952380953"/>
    <n v="49.214285709999999"/>
    <n v="2"/>
    <x v="1"/>
    <n v="83.984677036303637"/>
  </r>
  <r>
    <n v="392050"/>
    <x v="91"/>
    <n v="1"/>
    <n v="471.42857142857139"/>
    <n v="634.5"/>
    <n v="192"/>
    <n v="3132"/>
    <n v="304"/>
    <n v="1343"/>
    <n v="907.14285714000005"/>
    <x v="91"/>
    <x v="4"/>
    <n v="1"/>
    <x v="91"/>
    <s v="192 Collent Rue"/>
    <x v="1"/>
    <x v="1"/>
    <n v="471.42857142857139"/>
    <n v="471.42857142857139"/>
    <n v="435.85714285999995"/>
    <n v="2"/>
    <x v="1"/>
    <n v="1275.453994256143"/>
  </r>
  <r>
    <n v="390498"/>
    <x v="92"/>
    <n v="1"/>
    <n v="768.86915887850466"/>
    <n v="1054.5"/>
    <n v="763"/>
    <n v="3118"/>
    <n v="319"/>
    <n v="204"/>
    <n v="135.23364486"/>
    <x v="92"/>
    <x v="4"/>
    <n v="1"/>
    <x v="92"/>
    <s v="763 Walnut Route"/>
    <x v="4"/>
    <x v="4"/>
    <n v="768.86915887850466"/>
    <n v="768.86915887850466"/>
    <n v="68.766355140000002"/>
    <n v="2"/>
    <x v="1"/>
    <n v="137.70899761764707"/>
  </r>
  <r>
    <n v="392741"/>
    <x v="93"/>
    <n v="2"/>
    <n v="68.607476635514018"/>
    <n v="86.25"/>
    <n v="911"/>
    <n v="3135"/>
    <n v="392"/>
    <n v="287.5"/>
    <n v="190.56074766"/>
    <x v="93"/>
    <x v="4"/>
    <n v="2"/>
    <x v="93"/>
    <s v="911 Collins Way"/>
    <x v="0"/>
    <x v="0"/>
    <n v="137.21495327102804"/>
    <n v="137.21495327102804"/>
    <n v="96.939252339999996"/>
    <n v="2"/>
    <x v="0"/>
    <n v="221.21800081391302"/>
  </r>
  <r>
    <n v="393462"/>
    <x v="94"/>
    <n v="1"/>
    <n v="74.112149532710276"/>
    <n v="335.5"/>
    <n v="814"/>
    <n v="3143"/>
    <n v="870"/>
    <n v="335.5"/>
    <n v="74.112149532999993"/>
    <x v="94"/>
    <x v="0"/>
    <n v="2"/>
    <x v="94"/>
    <s v="814 York Street"/>
    <x v="1"/>
    <x v="3"/>
    <n v="148.22429906542055"/>
    <n v="74.112149532710276"/>
    <n v="261.38785046700002"/>
    <n v="2"/>
    <x v="1"/>
    <n v="313.40994052667662"/>
  </r>
  <r>
    <n v="391403"/>
    <x v="95"/>
    <n v="3"/>
    <n v="84.333333333333343"/>
    <n v="120"/>
    <n v="908"/>
    <n v="3126"/>
    <n v="318"/>
    <n v="335"/>
    <n v="214.05405404999999"/>
    <x v="95"/>
    <x v="4"/>
    <n v="2"/>
    <x v="95"/>
    <s v="908 Ellerman Lane"/>
    <x v="1"/>
    <x v="1"/>
    <n v="168.66666666666669"/>
    <n v="253.00000000000003"/>
    <n v="120.94594595000001"/>
    <n v="2"/>
    <x v="0"/>
    <n v="271.1032674477612"/>
  </r>
  <r>
    <n v="391366"/>
    <x v="96"/>
    <n v="1"/>
    <n v="40.036036036036037"/>
    <n v="57"/>
    <n v="222"/>
    <n v="3125"/>
    <n v="261"/>
    <n v="146.5"/>
    <n v="46.801801802"/>
    <x v="96"/>
    <x v="1"/>
    <n v="1"/>
    <x v="96"/>
    <s v="222 Carolina Vale"/>
    <x v="4"/>
    <x v="4"/>
    <n v="40.036036036036037"/>
    <n v="40.036036036036037"/>
    <n v="99.698198198"/>
    <n v="2"/>
    <x v="1"/>
    <n v="114.55337760955632"/>
  </r>
  <r>
    <n v="395371"/>
    <x v="97"/>
    <n v="1"/>
    <n v="113.6936936936937"/>
    <n v="178"/>
    <n v="182"/>
    <n v="3156"/>
    <n v="78"/>
    <n v="178"/>
    <n v="113.69369369"/>
    <x v="97"/>
    <x v="4"/>
    <n v="2"/>
    <x v="97"/>
    <s v="182 Balfour Hill"/>
    <x v="4"/>
    <x v="1"/>
    <n v="227.38738738738741"/>
    <n v="113.6936936936937"/>
    <n v="64.306306309999997"/>
    <n v="2"/>
    <x v="1"/>
    <n v="114.12713837640449"/>
  </r>
  <r>
    <n v="536622"/>
    <x v="98"/>
    <n v="3"/>
    <n v="1266.439252336449"/>
    <n v="1737"/>
    <n v="615"/>
    <n v="4312"/>
    <n v="351"/>
    <n v="114"/>
    <n v="75.607476636000001"/>
    <x v="98"/>
    <x v="4"/>
    <n v="3"/>
    <x v="98"/>
    <s v="615 Hamilton Rue"/>
    <x v="3"/>
    <x v="3"/>
    <n v="3799.3177570093471"/>
    <n v="3799.3177570093471"/>
    <n v="38.392523363999999"/>
    <n v="2"/>
    <x v="0"/>
    <n v="47.6776520736842"/>
  </r>
  <r>
    <n v="536820"/>
    <x v="99"/>
    <n v="1"/>
    <n v="41.532710280373827"/>
    <n v="57"/>
    <n v="71"/>
    <n v="4315"/>
    <n v="65"/>
    <n v="115"/>
    <n v="76.261682242999996"/>
    <x v="99"/>
    <x v="4"/>
    <n v="3"/>
    <x v="99"/>
    <s v="71 Chambers Pass"/>
    <x v="4"/>
    <x v="4"/>
    <n v="124.59813084112147"/>
    <n v="41.532710280373827"/>
    <n v="38.738317757000004"/>
    <n v="2"/>
    <x v="1"/>
    <n v="48.685493701739134"/>
  </r>
  <r>
    <n v="260429"/>
    <x v="100"/>
    <n v="1"/>
    <n v="24.666666666666671"/>
    <n v="109.5"/>
    <n v="974"/>
    <n v="2064"/>
    <n v="946"/>
    <n v="109.5"/>
    <n v="24.666666667000001"/>
    <x v="100"/>
    <x v="0"/>
    <n v="1"/>
    <x v="100"/>
    <s v="974 Edwin Rue"/>
    <x v="1"/>
    <x v="2"/>
    <n v="24.666666666666671"/>
    <n v="24.666666666666671"/>
    <n v="84.833333332999999"/>
    <n v="2"/>
    <x v="1"/>
    <n v="86.973363774429217"/>
  </r>
  <r>
    <n v="409703"/>
    <x v="101"/>
    <n v="3"/>
    <n v="26.48268398268398"/>
    <n v="57.5"/>
    <n v="491"/>
    <n v="3277"/>
    <n v="603"/>
    <n v="172.5"/>
    <n v="79.448051948"/>
    <x v="101"/>
    <x v="5"/>
    <n v="3"/>
    <x v="101"/>
    <s v="491 Coalecroft Crossroad"/>
    <x v="0"/>
    <x v="0"/>
    <n v="79.44805194805194"/>
    <n v="79.44805194805194"/>
    <n v="93.051948052"/>
    <n v="2"/>
    <x v="0"/>
    <n v="126.4431582910145"/>
  </r>
  <r>
    <n v="406505"/>
    <x v="102"/>
    <n v="2"/>
    <n v="726.06796116504859"/>
    <n v="1054.5"/>
    <n v="303"/>
    <n v="2586"/>
    <n v="342"/>
    <n v="2109"/>
    <n v="1452.1359222999999"/>
    <x v="102"/>
    <x v="4"/>
    <n v="1"/>
    <x v="102"/>
    <s v="303 Blue Anchor Walk"/>
    <x v="1"/>
    <x v="0"/>
    <n v="726.06796116504859"/>
    <n v="1452.1359223300972"/>
    <n v="656.86407770000005"/>
    <n v="2"/>
    <x v="0"/>
    <n v="2040.145759966809"/>
  </r>
  <r>
    <n v="540630"/>
    <x v="103"/>
    <n v="3"/>
    <n v="42.358730158730161"/>
    <n v="57"/>
    <n v="464"/>
    <n v="4344"/>
    <n v="378"/>
    <n v="325"/>
    <n v="219.52380951999999"/>
    <x v="103"/>
    <x v="4"/>
    <n v="2"/>
    <x v="103"/>
    <s v="464 Oxford Lane"/>
    <x v="3"/>
    <x v="3"/>
    <n v="84.717460317460322"/>
    <n v="127.07619047619048"/>
    <n v="105.47619048000001"/>
    <n v="2"/>
    <x v="0"/>
    <n v="257.45421245538461"/>
  </r>
  <r>
    <n v="537603"/>
    <x v="104"/>
    <n v="1"/>
    <n v="41.924528301886802"/>
    <n v="57"/>
    <n v="870"/>
    <n v="4321"/>
    <n v="328"/>
    <n v="288"/>
    <n v="192.73584905999999"/>
    <x v="104"/>
    <x v="4"/>
    <n v="2"/>
    <x v="104"/>
    <s v="870 Cliff Crossroad"/>
    <x v="4"/>
    <x v="4"/>
    <n v="83.849056603773604"/>
    <n v="41.924528301886802"/>
    <n v="95.264150940000007"/>
    <n v="2"/>
    <x v="1"/>
    <n v="221.07783018750001"/>
  </r>
  <r>
    <n v="538541"/>
    <x v="105"/>
    <n v="3"/>
    <n v="213.9936507936508"/>
    <n v="288"/>
    <n v="770"/>
    <n v="4329"/>
    <n v="4"/>
    <n v="502.5"/>
    <n v="407.31428570999998"/>
    <x v="105"/>
    <x v="2"/>
    <n v="2"/>
    <x v="105"/>
    <s v="770 Chelsea Manor Crossroad"/>
    <x v="3"/>
    <x v="2"/>
    <n v="427.9873015873016"/>
    <n v="641.98095238095243"/>
    <n v="95.185714290000021"/>
    <n v="2"/>
    <x v="0"/>
    <n v="421.4424307044776"/>
  </r>
  <r>
    <n v="538693"/>
    <x v="106"/>
    <n v="1"/>
    <n v="68.716931216931215"/>
    <n v="146.5"/>
    <n v="394"/>
    <n v="4330"/>
    <n v="766"/>
    <n v="146.5"/>
    <n v="68.716931216999996"/>
    <x v="106"/>
    <x v="5"/>
    <n v="1"/>
    <x v="106"/>
    <s v="394 Carol Tunnel"/>
    <x v="4"/>
    <x v="4"/>
    <n v="68.716931216931215"/>
    <n v="68.716931216931215"/>
    <n v="77.783068783000004"/>
    <n v="2"/>
    <x v="1"/>
    <n v="99.594244903071683"/>
  </r>
  <r>
    <n v="384785"/>
    <x v="107"/>
    <n v="2"/>
    <n v="606.42592592592598"/>
    <n v="839.5"/>
    <n v="178"/>
    <n v="3072"/>
    <n v="354"/>
    <n v="230.5"/>
    <n v="151.38888889"/>
    <x v="107"/>
    <x v="4"/>
    <n v="2"/>
    <x v="107"/>
    <s v="178 Commercial Tunnel"/>
    <x v="3"/>
    <x v="3"/>
    <n v="1212.851851851852"/>
    <n v="1212.851851851852"/>
    <n v="79.111111109999996"/>
    <n v="2"/>
    <x v="0"/>
    <n v="164.8215232581345"/>
  </r>
  <r>
    <n v="391171"/>
    <x v="108"/>
    <n v="3"/>
    <n v="79.532710280373834"/>
    <n v="120"/>
    <n v="984"/>
    <n v="3123"/>
    <n v="66"/>
    <n v="360"/>
    <n v="238.59813084000001"/>
    <x v="108"/>
    <x v="4"/>
    <n v="2"/>
    <x v="108"/>
    <s v="984 Walnut Grove"/>
    <x v="3"/>
    <x v="4"/>
    <n v="159.06542056074767"/>
    <n v="238.5981308411215"/>
    <n v="121.40186915999999"/>
    <n v="2"/>
    <x v="0"/>
    <n v="293.72274143333334"/>
  </r>
  <r>
    <n v="543451"/>
    <x v="109"/>
    <n v="1"/>
    <n v="388.48214285714278"/>
    <n v="613.5"/>
    <n v="341"/>
    <n v="4366"/>
    <n v="369"/>
    <n v="613.5"/>
    <n v="388.48214286000001"/>
    <x v="109"/>
    <x v="4"/>
    <n v="1"/>
    <x v="109"/>
    <s v="341 Westcott Pass"/>
    <x v="3"/>
    <x v="1"/>
    <n v="388.48214285714278"/>
    <n v="388.48214285714278"/>
    <n v="225.01785713999999"/>
    <n v="2"/>
    <x v="1"/>
    <n v="550.177727325183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6BDFF1-1DC8-481C-95B9-BDB8701115B2}"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7" firstHeaderRow="1" firstDataRow="1" firstDataCol="1"/>
  <pivotFields count="26">
    <pivotField showAll="0"/>
    <pivotField numFmtId="22" showAll="0">
      <items count="111">
        <item x="61"/>
        <item x="42"/>
        <item x="62"/>
        <item x="41"/>
        <item x="28"/>
        <item x="59"/>
        <item x="71"/>
        <item x="89"/>
        <item x="51"/>
        <item x="53"/>
        <item x="72"/>
        <item x="48"/>
        <item x="30"/>
        <item x="79"/>
        <item x="63"/>
        <item x="29"/>
        <item x="70"/>
        <item x="91"/>
        <item x="85"/>
        <item x="67"/>
        <item x="104"/>
        <item x="98"/>
        <item x="99"/>
        <item x="40"/>
        <item x="23"/>
        <item x="17"/>
        <item x="11"/>
        <item x="9"/>
        <item x="21"/>
        <item x="12"/>
        <item x="26"/>
        <item x="37"/>
        <item x="5"/>
        <item x="8"/>
        <item x="13"/>
        <item x="78"/>
        <item x="55"/>
        <item x="87"/>
        <item x="80"/>
        <item x="77"/>
        <item x="68"/>
        <item x="105"/>
        <item x="69"/>
        <item x="66"/>
        <item x="34"/>
        <item x="39"/>
        <item x="25"/>
        <item x="24"/>
        <item x="7"/>
        <item x="4"/>
        <item x="18"/>
        <item x="97"/>
        <item x="96"/>
        <item x="95"/>
        <item x="109"/>
        <item x="88"/>
        <item x="44"/>
        <item x="83"/>
        <item x="46"/>
        <item x="45"/>
        <item x="54"/>
        <item x="49"/>
        <item x="73"/>
        <item x="102"/>
        <item x="76"/>
        <item x="75"/>
        <item x="50"/>
        <item x="65"/>
        <item x="84"/>
        <item x="58"/>
        <item x="86"/>
        <item x="64"/>
        <item x="103"/>
        <item x="27"/>
        <item x="90"/>
        <item x="32"/>
        <item x="60"/>
        <item x="92"/>
        <item x="38"/>
        <item x="107"/>
        <item x="35"/>
        <item x="20"/>
        <item x="15"/>
        <item x="14"/>
        <item x="1"/>
        <item x="6"/>
        <item x="3"/>
        <item x="22"/>
        <item x="19"/>
        <item x="47"/>
        <item x="52"/>
        <item x="56"/>
        <item x="74"/>
        <item x="57"/>
        <item x="82"/>
        <item x="100"/>
        <item x="33"/>
        <item x="31"/>
        <item x="94"/>
        <item x="93"/>
        <item x="108"/>
        <item x="106"/>
        <item x="101"/>
        <item x="36"/>
        <item x="10"/>
        <item x="0"/>
        <item x="2"/>
        <item x="16"/>
        <item x="43"/>
        <item x="8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111">
        <item x="76"/>
        <item x="35"/>
        <item x="77"/>
        <item x="73"/>
        <item x="2"/>
        <item x="33"/>
        <item x="32"/>
        <item x="27"/>
        <item x="64"/>
        <item x="50"/>
        <item x="67"/>
        <item x="16"/>
        <item x="41"/>
        <item x="75"/>
        <item x="22"/>
        <item x="59"/>
        <item x="97"/>
        <item x="52"/>
        <item x="90"/>
        <item x="38"/>
        <item x="80"/>
        <item x="8"/>
        <item x="61"/>
        <item x="102"/>
        <item x="20"/>
        <item x="23"/>
        <item x="11"/>
        <item x="53"/>
        <item x="83"/>
        <item x="78"/>
        <item x="5"/>
        <item x="44"/>
        <item x="106"/>
        <item x="96"/>
        <item x="31"/>
        <item x="15"/>
        <item x="39"/>
        <item x="99"/>
        <item x="47"/>
        <item x="105"/>
        <item x="0"/>
        <item x="82"/>
        <item x="43"/>
        <item x="9"/>
        <item x="1"/>
        <item x="18"/>
        <item x="104"/>
        <item x="84"/>
        <item x="101"/>
        <item x="55"/>
        <item x="45"/>
        <item x="46"/>
        <item x="91"/>
        <item x="93"/>
        <item x="63"/>
        <item x="107"/>
        <item x="29"/>
        <item x="60"/>
        <item x="42"/>
        <item x="26"/>
        <item x="36"/>
        <item x="85"/>
        <item x="79"/>
        <item x="100"/>
        <item x="95"/>
        <item x="66"/>
        <item x="7"/>
        <item x="4"/>
        <item x="34"/>
        <item x="30"/>
        <item x="57"/>
        <item x="69"/>
        <item x="98"/>
        <item x="25"/>
        <item x="70"/>
        <item x="58"/>
        <item x="40"/>
        <item x="74"/>
        <item x="24"/>
        <item x="14"/>
        <item x="51"/>
        <item x="89"/>
        <item x="88"/>
        <item x="65"/>
        <item x="56"/>
        <item x="13"/>
        <item x="12"/>
        <item x="87"/>
        <item x="103"/>
        <item x="86"/>
        <item x="68"/>
        <item x="37"/>
        <item x="71"/>
        <item x="62"/>
        <item x="3"/>
        <item x="10"/>
        <item x="81"/>
        <item x="49"/>
        <item x="54"/>
        <item x="72"/>
        <item x="28"/>
        <item x="6"/>
        <item x="48"/>
        <item x="92"/>
        <item x="19"/>
        <item x="108"/>
        <item x="109"/>
        <item x="17"/>
        <item x="21"/>
        <item x="94"/>
        <item t="default"/>
      </items>
    </pivotField>
    <pivotField showAll="0"/>
    <pivotField showAll="0"/>
    <pivotField showAll="0">
      <items count="6">
        <item x="2"/>
        <item x="4"/>
        <item x="1"/>
        <item x="0"/>
        <item x="3"/>
        <item t="default"/>
      </items>
    </pivotField>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h="1" x="0"/>
        <item h="1" sd="0" x="1"/>
        <item h="1" x="2"/>
        <item h="1" x="3"/>
        <item x="4"/>
        <item h="1" x="5"/>
        <item t="default"/>
      </items>
    </pivotField>
    <pivotField axis="axisRow" showAll="0">
      <items count="8">
        <item x="0"/>
        <item x="1"/>
        <item x="2"/>
        <item x="3"/>
        <item sd="0" x="4"/>
        <item sd="0" x="5"/>
        <item x="6"/>
        <item t="default"/>
      </items>
    </pivotField>
  </pivotFields>
  <rowFields count="3">
    <field x="25"/>
    <field x="24"/>
    <field x="23"/>
  </rowFields>
  <rowItems count="14">
    <i>
      <x v="1"/>
    </i>
    <i r="1">
      <x v="4"/>
    </i>
    <i r="2">
      <x v="10"/>
    </i>
    <i r="2">
      <x v="11"/>
    </i>
    <i>
      <x v="2"/>
    </i>
    <i r="1">
      <x v="4"/>
    </i>
    <i r="2">
      <x v="10"/>
    </i>
    <i r="2">
      <x v="11"/>
    </i>
    <i>
      <x v="3"/>
    </i>
    <i r="1">
      <x v="4"/>
    </i>
    <i r="2">
      <x v="10"/>
    </i>
    <i r="2">
      <x v="11"/>
    </i>
    <i>
      <x v="4"/>
    </i>
    <i t="grand">
      <x/>
    </i>
  </rowItems>
  <colItems count="1">
    <i/>
  </colItems>
  <dataFields count="1">
    <dataField name="Sum of sheet8.Sales Amount" fld="8" showDataAs="runTotal" baseField="24"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37BB8D-E317-4110-86BC-8BF194DE4489}"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8" firstHeaderRow="1" firstDataRow="1" firstDataCol="1"/>
  <pivotFields count="26">
    <pivotField showAll="0"/>
    <pivotField numFmtId="22" showAll="0">
      <items count="111">
        <item x="61"/>
        <item x="42"/>
        <item x="62"/>
        <item x="41"/>
        <item x="28"/>
        <item x="59"/>
        <item x="71"/>
        <item x="89"/>
        <item x="51"/>
        <item x="53"/>
        <item x="72"/>
        <item x="48"/>
        <item x="30"/>
        <item x="79"/>
        <item x="63"/>
        <item x="29"/>
        <item x="70"/>
        <item x="91"/>
        <item x="85"/>
        <item x="67"/>
        <item x="104"/>
        <item x="98"/>
        <item x="99"/>
        <item x="40"/>
        <item x="23"/>
        <item x="17"/>
        <item x="11"/>
        <item x="9"/>
        <item x="21"/>
        <item x="12"/>
        <item x="26"/>
        <item x="37"/>
        <item x="5"/>
        <item x="8"/>
        <item x="13"/>
        <item x="78"/>
        <item x="55"/>
        <item x="87"/>
        <item x="80"/>
        <item x="77"/>
        <item x="68"/>
        <item x="105"/>
        <item x="69"/>
        <item x="66"/>
        <item x="34"/>
        <item x="39"/>
        <item x="25"/>
        <item x="24"/>
        <item x="7"/>
        <item x="4"/>
        <item x="18"/>
        <item x="97"/>
        <item x="96"/>
        <item x="95"/>
        <item x="109"/>
        <item x="88"/>
        <item x="44"/>
        <item x="83"/>
        <item x="46"/>
        <item x="45"/>
        <item x="54"/>
        <item x="49"/>
        <item x="73"/>
        <item x="102"/>
        <item x="76"/>
        <item x="75"/>
        <item x="50"/>
        <item x="65"/>
        <item x="84"/>
        <item x="58"/>
        <item x="86"/>
        <item x="64"/>
        <item x="103"/>
        <item x="27"/>
        <item x="90"/>
        <item x="32"/>
        <item x="60"/>
        <item x="92"/>
        <item x="38"/>
        <item x="107"/>
        <item x="35"/>
        <item x="20"/>
        <item x="15"/>
        <item x="14"/>
        <item x="1"/>
        <item x="6"/>
        <item x="3"/>
        <item x="22"/>
        <item x="19"/>
        <item x="47"/>
        <item x="52"/>
        <item x="56"/>
        <item x="74"/>
        <item x="57"/>
        <item x="82"/>
        <item x="100"/>
        <item x="33"/>
        <item x="31"/>
        <item x="94"/>
        <item x="93"/>
        <item x="108"/>
        <item x="106"/>
        <item x="101"/>
        <item x="36"/>
        <item x="10"/>
        <item x="0"/>
        <item x="2"/>
        <item x="16"/>
        <item x="43"/>
        <item x="81"/>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Row" showAll="0">
      <items count="111">
        <item x="76"/>
        <item x="35"/>
        <item x="77"/>
        <item x="73"/>
        <item x="2"/>
        <item x="33"/>
        <item x="32"/>
        <item x="27"/>
        <item x="64"/>
        <item x="50"/>
        <item x="67"/>
        <item x="16"/>
        <item x="41"/>
        <item x="75"/>
        <item x="22"/>
        <item x="59"/>
        <item x="97"/>
        <item x="52"/>
        <item x="90"/>
        <item x="38"/>
        <item x="80"/>
        <item x="8"/>
        <item x="61"/>
        <item x="102"/>
        <item x="20"/>
        <item x="23"/>
        <item x="11"/>
        <item x="53"/>
        <item x="83"/>
        <item x="78"/>
        <item x="5"/>
        <item x="44"/>
        <item x="106"/>
        <item x="96"/>
        <item x="31"/>
        <item x="15"/>
        <item x="39"/>
        <item x="99"/>
        <item x="47"/>
        <item x="105"/>
        <item x="0"/>
        <item x="82"/>
        <item x="43"/>
        <item x="9"/>
        <item x="1"/>
        <item x="18"/>
        <item x="104"/>
        <item x="84"/>
        <item x="101"/>
        <item x="55"/>
        <item x="45"/>
        <item x="46"/>
        <item x="91"/>
        <item x="93"/>
        <item x="63"/>
        <item x="107"/>
        <item x="29"/>
        <item x="60"/>
        <item x="42"/>
        <item x="26"/>
        <item x="36"/>
        <item x="85"/>
        <item x="79"/>
        <item x="100"/>
        <item x="95"/>
        <item x="66"/>
        <item x="7"/>
        <item x="4"/>
        <item x="34"/>
        <item x="30"/>
        <item x="57"/>
        <item x="69"/>
        <item x="98"/>
        <item x="25"/>
        <item x="70"/>
        <item x="58"/>
        <item x="40"/>
        <item x="74"/>
        <item x="24"/>
        <item x="14"/>
        <item x="51"/>
        <item x="89"/>
        <item x="88"/>
        <item x="65"/>
        <item x="56"/>
        <item x="13"/>
        <item x="12"/>
        <item x="87"/>
        <item x="103"/>
        <item x="86"/>
        <item x="68"/>
        <item x="37"/>
        <item x="71"/>
        <item x="62"/>
        <item x="3"/>
        <item x="10"/>
        <item x="81"/>
        <item x="49"/>
        <item x="54"/>
        <item x="72"/>
        <item x="28"/>
        <item x="6"/>
        <item x="48"/>
        <item x="92"/>
        <item x="19"/>
        <item x="108"/>
        <item x="109"/>
        <item x="17"/>
        <item x="21"/>
        <item x="94"/>
        <item t="default"/>
      </items>
    </pivotField>
    <pivotField showAll="0"/>
    <pivotField showAll="0">
      <items count="6">
        <item x="2"/>
        <item x="4"/>
        <item x="1"/>
        <item x="0"/>
        <item x="3"/>
        <item t="default"/>
      </items>
    </pivotField>
    <pivotField showAll="0">
      <items count="6">
        <item x="2"/>
        <item x="4"/>
        <item x="1"/>
        <item x="0"/>
        <item x="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h="1" x="0"/>
        <item h="1" x="1"/>
        <item h="1" x="2"/>
        <item h="1" x="3"/>
        <item x="4"/>
        <item h="1" x="5"/>
        <item t="default"/>
      </items>
    </pivotField>
    <pivotField showAll="0">
      <items count="8">
        <item x="0"/>
        <item x="1"/>
        <item x="2"/>
        <item x="3"/>
        <item x="4"/>
        <item x="5"/>
        <item x="6"/>
        <item t="default"/>
      </items>
    </pivotField>
  </pivotFields>
  <rowFields count="1">
    <field x="13"/>
  </rowFields>
  <rowItems count="15">
    <i>
      <x v="1"/>
    </i>
    <i>
      <x v="19"/>
    </i>
    <i>
      <x v="32"/>
    </i>
    <i>
      <x v="36"/>
    </i>
    <i>
      <x v="37"/>
    </i>
    <i>
      <x v="53"/>
    </i>
    <i>
      <x v="55"/>
    </i>
    <i>
      <x v="57"/>
    </i>
    <i>
      <x v="68"/>
    </i>
    <i>
      <x v="72"/>
    </i>
    <i>
      <x v="76"/>
    </i>
    <i>
      <x v="103"/>
    </i>
    <i>
      <x v="105"/>
    </i>
    <i>
      <x v="109"/>
    </i>
    <i t="grand">
      <x/>
    </i>
  </rowItems>
  <colItems count="1">
    <i/>
  </colItems>
  <dataFields count="1">
    <dataField name="Sum of sheet8.Sales Amount" fld="8" baseField="0" baseItem="0"/>
  </dataFields>
  <chartFormats count="2">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C5AEDC-DAB4-4418-A0FA-55C3884FC5B7}" name="PivotTable1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6">
    <pivotField showAll="0"/>
    <pivotField numFmtId="22" showAll="0">
      <items count="111">
        <item x="61"/>
        <item x="42"/>
        <item x="62"/>
        <item x="41"/>
        <item x="28"/>
        <item x="59"/>
        <item x="71"/>
        <item x="89"/>
        <item x="51"/>
        <item x="53"/>
        <item x="72"/>
        <item x="48"/>
        <item x="30"/>
        <item x="79"/>
        <item x="63"/>
        <item x="29"/>
        <item x="70"/>
        <item x="91"/>
        <item x="85"/>
        <item x="67"/>
        <item x="104"/>
        <item x="98"/>
        <item x="99"/>
        <item x="40"/>
        <item x="23"/>
        <item x="17"/>
        <item x="11"/>
        <item x="9"/>
        <item x="21"/>
        <item x="12"/>
        <item x="26"/>
        <item x="37"/>
        <item x="5"/>
        <item x="8"/>
        <item x="13"/>
        <item x="78"/>
        <item x="55"/>
        <item x="87"/>
        <item x="80"/>
        <item x="77"/>
        <item x="68"/>
        <item x="105"/>
        <item x="69"/>
        <item x="66"/>
        <item x="34"/>
        <item x="39"/>
        <item x="25"/>
        <item x="24"/>
        <item x="7"/>
        <item x="4"/>
        <item x="18"/>
        <item x="97"/>
        <item x="96"/>
        <item x="95"/>
        <item x="109"/>
        <item x="88"/>
        <item x="44"/>
        <item x="83"/>
        <item x="46"/>
        <item x="45"/>
        <item x="54"/>
        <item x="49"/>
        <item x="73"/>
        <item x="102"/>
        <item x="76"/>
        <item x="75"/>
        <item x="50"/>
        <item x="65"/>
        <item x="84"/>
        <item x="58"/>
        <item x="86"/>
        <item x="64"/>
        <item x="103"/>
        <item x="27"/>
        <item x="90"/>
        <item x="32"/>
        <item x="60"/>
        <item x="92"/>
        <item x="38"/>
        <item x="107"/>
        <item x="35"/>
        <item x="20"/>
        <item x="15"/>
        <item x="14"/>
        <item x="1"/>
        <item x="6"/>
        <item x="3"/>
        <item x="22"/>
        <item x="19"/>
        <item x="47"/>
        <item x="52"/>
        <item x="56"/>
        <item x="74"/>
        <item x="57"/>
        <item x="82"/>
        <item x="100"/>
        <item x="33"/>
        <item x="31"/>
        <item x="94"/>
        <item x="93"/>
        <item x="108"/>
        <item x="106"/>
        <item x="101"/>
        <item x="36"/>
        <item x="10"/>
        <item x="0"/>
        <item x="2"/>
        <item x="16"/>
        <item x="43"/>
        <item x="8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111">
        <item x="76"/>
        <item x="35"/>
        <item x="77"/>
        <item x="73"/>
        <item x="2"/>
        <item x="33"/>
        <item x="32"/>
        <item x="27"/>
        <item x="64"/>
        <item x="50"/>
        <item x="67"/>
        <item x="16"/>
        <item x="41"/>
        <item x="75"/>
        <item x="22"/>
        <item x="59"/>
        <item x="97"/>
        <item x="52"/>
        <item x="90"/>
        <item x="38"/>
        <item x="80"/>
        <item x="8"/>
        <item x="61"/>
        <item x="102"/>
        <item x="20"/>
        <item x="23"/>
        <item x="11"/>
        <item x="53"/>
        <item x="83"/>
        <item x="78"/>
        <item x="5"/>
        <item x="44"/>
        <item x="106"/>
        <item x="96"/>
        <item x="31"/>
        <item x="15"/>
        <item x="39"/>
        <item x="99"/>
        <item x="47"/>
        <item x="105"/>
        <item x="0"/>
        <item x="82"/>
        <item x="43"/>
        <item x="9"/>
        <item x="1"/>
        <item x="18"/>
        <item x="104"/>
        <item x="84"/>
        <item x="101"/>
        <item x="55"/>
        <item x="45"/>
        <item x="46"/>
        <item x="91"/>
        <item x="93"/>
        <item x="63"/>
        <item x="107"/>
        <item x="29"/>
        <item x="60"/>
        <item x="42"/>
        <item x="26"/>
        <item x="36"/>
        <item x="85"/>
        <item x="79"/>
        <item x="100"/>
        <item x="95"/>
        <item x="66"/>
        <item x="7"/>
        <item x="4"/>
        <item x="34"/>
        <item x="30"/>
        <item x="57"/>
        <item x="69"/>
        <item x="98"/>
        <item x="25"/>
        <item x="70"/>
        <item x="58"/>
        <item x="40"/>
        <item x="74"/>
        <item x="24"/>
        <item x="14"/>
        <item x="51"/>
        <item x="89"/>
        <item x="88"/>
        <item x="65"/>
        <item x="56"/>
        <item x="13"/>
        <item x="12"/>
        <item x="87"/>
        <item x="103"/>
        <item x="86"/>
        <item x="68"/>
        <item x="37"/>
        <item x="71"/>
        <item x="62"/>
        <item x="3"/>
        <item x="10"/>
        <item x="81"/>
        <item x="49"/>
        <item x="54"/>
        <item x="72"/>
        <item x="28"/>
        <item x="6"/>
        <item x="48"/>
        <item x="92"/>
        <item x="19"/>
        <item x="108"/>
        <item x="109"/>
        <item x="17"/>
        <item x="21"/>
        <item x="94"/>
        <item t="default"/>
      </items>
    </pivotField>
    <pivotField showAll="0"/>
    <pivotField axis="axisRow" showAll="0">
      <items count="6">
        <item x="2"/>
        <item x="4"/>
        <item x="1"/>
        <item x="0"/>
        <item x="3"/>
        <item t="default"/>
      </items>
    </pivotField>
    <pivotField showAll="0">
      <items count="6">
        <item x="2"/>
        <item x="4"/>
        <item x="1"/>
        <item x="0"/>
        <item x="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h="1" x="0"/>
        <item h="1" x="1"/>
        <item h="1" x="2"/>
        <item h="1" x="3"/>
        <item x="4"/>
        <item h="1" x="5"/>
        <item t="default"/>
      </items>
    </pivotField>
    <pivotField showAll="0">
      <items count="8">
        <item x="0"/>
        <item x="1"/>
        <item x="2"/>
        <item x="3"/>
        <item x="4"/>
        <item x="5"/>
        <item x="6"/>
        <item t="default"/>
      </items>
    </pivotField>
  </pivotFields>
  <rowFields count="1">
    <field x="15"/>
  </rowFields>
  <rowItems count="6">
    <i>
      <x/>
    </i>
    <i>
      <x v="1"/>
    </i>
    <i>
      <x v="2"/>
    </i>
    <i>
      <x v="3"/>
    </i>
    <i>
      <x v="4"/>
    </i>
    <i t="grand">
      <x/>
    </i>
  </rowItems>
  <colItems count="1">
    <i/>
  </colItems>
  <dataFields count="1">
    <dataField name="Sum of sheet8.Sales Amount" fld="8" baseField="15"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2A1398-67E0-4B2A-946E-71E81BD6E5BE}" name="PivotTable1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26">
    <pivotField showAll="0"/>
    <pivotField axis="axisRow" numFmtId="22" showAll="0">
      <items count="111">
        <item x="61"/>
        <item x="42"/>
        <item x="62"/>
        <item x="41"/>
        <item x="28"/>
        <item x="59"/>
        <item x="71"/>
        <item x="89"/>
        <item x="51"/>
        <item x="53"/>
        <item x="72"/>
        <item x="48"/>
        <item x="30"/>
        <item x="79"/>
        <item x="63"/>
        <item x="29"/>
        <item x="70"/>
        <item x="91"/>
        <item x="85"/>
        <item x="67"/>
        <item x="104"/>
        <item x="98"/>
        <item x="99"/>
        <item x="40"/>
        <item x="23"/>
        <item x="17"/>
        <item x="11"/>
        <item x="9"/>
        <item x="21"/>
        <item x="12"/>
        <item x="26"/>
        <item x="37"/>
        <item x="5"/>
        <item x="8"/>
        <item x="13"/>
        <item x="78"/>
        <item x="55"/>
        <item x="87"/>
        <item x="80"/>
        <item x="77"/>
        <item x="68"/>
        <item x="105"/>
        <item x="69"/>
        <item x="66"/>
        <item x="34"/>
        <item x="39"/>
        <item x="25"/>
        <item x="24"/>
        <item x="7"/>
        <item x="4"/>
        <item x="18"/>
        <item x="97"/>
        <item x="96"/>
        <item x="95"/>
        <item x="109"/>
        <item x="88"/>
        <item x="44"/>
        <item x="83"/>
        <item x="46"/>
        <item x="45"/>
        <item x="54"/>
        <item x="49"/>
        <item x="73"/>
        <item x="102"/>
        <item x="76"/>
        <item x="75"/>
        <item x="50"/>
        <item x="65"/>
        <item x="84"/>
        <item x="58"/>
        <item x="86"/>
        <item x="64"/>
        <item x="103"/>
        <item x="27"/>
        <item x="90"/>
        <item x="32"/>
        <item x="60"/>
        <item x="92"/>
        <item x="38"/>
        <item x="107"/>
        <item x="35"/>
        <item x="20"/>
        <item x="15"/>
        <item x="14"/>
        <item x="1"/>
        <item x="6"/>
        <item x="3"/>
        <item x="22"/>
        <item x="19"/>
        <item x="47"/>
        <item x="52"/>
        <item x="56"/>
        <item x="74"/>
        <item x="57"/>
        <item x="82"/>
        <item x="100"/>
        <item x="33"/>
        <item x="31"/>
        <item x="94"/>
        <item x="93"/>
        <item x="108"/>
        <item x="106"/>
        <item x="101"/>
        <item x="36"/>
        <item x="10"/>
        <item x="0"/>
        <item x="2"/>
        <item x="16"/>
        <item x="43"/>
        <item x="8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111">
        <item x="76"/>
        <item x="35"/>
        <item x="77"/>
        <item x="73"/>
        <item x="2"/>
        <item x="33"/>
        <item x="32"/>
        <item x="27"/>
        <item x="64"/>
        <item x="50"/>
        <item x="67"/>
        <item x="16"/>
        <item x="41"/>
        <item x="75"/>
        <item x="22"/>
        <item x="59"/>
        <item x="97"/>
        <item x="52"/>
        <item x="90"/>
        <item x="38"/>
        <item x="80"/>
        <item x="8"/>
        <item x="61"/>
        <item x="102"/>
        <item x="20"/>
        <item x="23"/>
        <item x="11"/>
        <item x="53"/>
        <item x="83"/>
        <item x="78"/>
        <item x="5"/>
        <item x="44"/>
        <item x="106"/>
        <item x="96"/>
        <item x="31"/>
        <item x="15"/>
        <item x="39"/>
        <item x="99"/>
        <item x="47"/>
        <item x="105"/>
        <item x="0"/>
        <item x="82"/>
        <item x="43"/>
        <item x="9"/>
        <item x="1"/>
        <item x="18"/>
        <item x="104"/>
        <item x="84"/>
        <item x="101"/>
        <item x="55"/>
        <item x="45"/>
        <item x="46"/>
        <item x="91"/>
        <item x="93"/>
        <item x="63"/>
        <item x="107"/>
        <item x="29"/>
        <item x="60"/>
        <item x="42"/>
        <item x="26"/>
        <item x="36"/>
        <item x="85"/>
        <item x="79"/>
        <item x="100"/>
        <item x="95"/>
        <item x="66"/>
        <item x="7"/>
        <item x="4"/>
        <item x="34"/>
        <item x="30"/>
        <item x="57"/>
        <item x="69"/>
        <item x="98"/>
        <item x="25"/>
        <item x="70"/>
        <item x="58"/>
        <item x="40"/>
        <item x="74"/>
        <item x="24"/>
        <item x="14"/>
        <item x="51"/>
        <item x="89"/>
        <item x="88"/>
        <item x="65"/>
        <item x="56"/>
        <item x="13"/>
        <item x="12"/>
        <item x="87"/>
        <item x="103"/>
        <item x="86"/>
        <item x="68"/>
        <item x="37"/>
        <item x="71"/>
        <item x="62"/>
        <item x="3"/>
        <item x="10"/>
        <item x="81"/>
        <item x="49"/>
        <item x="54"/>
        <item x="72"/>
        <item x="28"/>
        <item x="6"/>
        <item x="48"/>
        <item x="92"/>
        <item x="19"/>
        <item x="108"/>
        <item x="109"/>
        <item x="17"/>
        <item x="21"/>
        <item x="94"/>
        <item t="default"/>
      </items>
    </pivotField>
    <pivotField showAll="0"/>
    <pivotField showAll="0">
      <items count="6">
        <item x="2"/>
        <item x="4"/>
        <item x="1"/>
        <item x="0"/>
        <item x="3"/>
        <item t="default"/>
      </items>
    </pivotField>
    <pivotField showAll="0">
      <items count="6">
        <item x="2"/>
        <item x="4"/>
        <item x="1"/>
        <item x="0"/>
        <item x="3"/>
        <item t="default"/>
      </items>
    </pivotField>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h="1" x="0"/>
        <item h="1" x="1"/>
        <item h="1" x="2"/>
        <item h="1" x="3"/>
        <item x="4"/>
        <item h="1" x="5"/>
        <item t="default"/>
      </items>
    </pivotField>
    <pivotField axis="axisRow" showAll="0">
      <items count="8">
        <item x="0"/>
        <item sd="0" x="1"/>
        <item sd="0" x="2"/>
        <item sd="0" x="3"/>
        <item sd="0" x="4"/>
        <item sd="0" x="5"/>
        <item x="6"/>
        <item t="default"/>
      </items>
    </pivotField>
  </pivotFields>
  <rowFields count="4">
    <field x="25"/>
    <field x="24"/>
    <field x="23"/>
    <field x="1"/>
  </rowFields>
  <rowItems count="5">
    <i>
      <x v="1"/>
    </i>
    <i>
      <x v="2"/>
    </i>
    <i>
      <x v="3"/>
    </i>
    <i>
      <x v="4"/>
    </i>
    <i t="grand">
      <x/>
    </i>
  </rowItems>
  <colItems count="1">
    <i/>
  </colItems>
  <dataFields count="1">
    <dataField name="Sum of sheet8.Sales Amount" fld="8"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5B4F22-DA06-49AF-97D1-FEB3D8018777}" name="PivotTable1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8" firstHeaderRow="1" firstDataRow="1" firstDataCol="1"/>
  <pivotFields count="26">
    <pivotField showAll="0"/>
    <pivotField axis="axisRow" numFmtId="22" showAll="0">
      <items count="111">
        <item x="61"/>
        <item x="42"/>
        <item x="62"/>
        <item x="41"/>
        <item x="28"/>
        <item x="59"/>
        <item x="71"/>
        <item x="89"/>
        <item x="51"/>
        <item x="53"/>
        <item x="72"/>
        <item x="48"/>
        <item x="30"/>
        <item x="79"/>
        <item x="63"/>
        <item x="29"/>
        <item x="70"/>
        <item x="91"/>
        <item x="85"/>
        <item x="67"/>
        <item x="104"/>
        <item x="98"/>
        <item x="99"/>
        <item x="40"/>
        <item x="23"/>
        <item x="17"/>
        <item x="11"/>
        <item x="9"/>
        <item x="21"/>
        <item x="12"/>
        <item x="26"/>
        <item x="37"/>
        <item x="5"/>
        <item x="8"/>
        <item x="13"/>
        <item x="78"/>
        <item x="55"/>
        <item x="87"/>
        <item x="80"/>
        <item x="77"/>
        <item x="68"/>
        <item x="105"/>
        <item x="69"/>
        <item x="66"/>
        <item x="34"/>
        <item x="39"/>
        <item x="25"/>
        <item x="24"/>
        <item x="7"/>
        <item x="4"/>
        <item x="18"/>
        <item x="97"/>
        <item x="96"/>
        <item x="95"/>
        <item x="109"/>
        <item x="88"/>
        <item x="44"/>
        <item x="83"/>
        <item x="46"/>
        <item x="45"/>
        <item x="54"/>
        <item x="49"/>
        <item x="73"/>
        <item x="102"/>
        <item x="76"/>
        <item x="75"/>
        <item x="50"/>
        <item x="65"/>
        <item x="84"/>
        <item x="58"/>
        <item x="86"/>
        <item x="64"/>
        <item x="103"/>
        <item x="27"/>
        <item x="90"/>
        <item x="32"/>
        <item x="60"/>
        <item x="92"/>
        <item x="38"/>
        <item x="107"/>
        <item x="35"/>
        <item x="20"/>
        <item x="15"/>
        <item x="14"/>
        <item x="1"/>
        <item x="6"/>
        <item x="3"/>
        <item x="22"/>
        <item x="19"/>
        <item x="47"/>
        <item x="52"/>
        <item x="56"/>
        <item x="74"/>
        <item x="57"/>
        <item x="82"/>
        <item x="100"/>
        <item x="33"/>
        <item x="31"/>
        <item x="94"/>
        <item x="93"/>
        <item x="108"/>
        <item x="106"/>
        <item x="101"/>
        <item x="36"/>
        <item x="10"/>
        <item x="0"/>
        <item x="2"/>
        <item x="16"/>
        <item x="43"/>
        <item x="8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111">
        <item x="76"/>
        <item x="35"/>
        <item x="77"/>
        <item x="73"/>
        <item x="2"/>
        <item x="33"/>
        <item x="32"/>
        <item x="27"/>
        <item x="64"/>
        <item x="50"/>
        <item x="67"/>
        <item x="16"/>
        <item x="41"/>
        <item x="75"/>
        <item x="22"/>
        <item x="59"/>
        <item x="97"/>
        <item x="52"/>
        <item x="90"/>
        <item x="38"/>
        <item x="80"/>
        <item x="8"/>
        <item x="61"/>
        <item x="102"/>
        <item x="20"/>
        <item x="23"/>
        <item x="11"/>
        <item x="53"/>
        <item x="83"/>
        <item x="78"/>
        <item x="5"/>
        <item x="44"/>
        <item x="106"/>
        <item x="96"/>
        <item x="31"/>
        <item x="15"/>
        <item x="39"/>
        <item x="99"/>
        <item x="47"/>
        <item x="105"/>
        <item x="0"/>
        <item x="82"/>
        <item x="43"/>
        <item x="9"/>
        <item x="1"/>
        <item x="18"/>
        <item x="104"/>
        <item x="84"/>
        <item x="101"/>
        <item x="55"/>
        <item x="45"/>
        <item x="46"/>
        <item x="91"/>
        <item x="93"/>
        <item x="63"/>
        <item x="107"/>
        <item x="29"/>
        <item x="60"/>
        <item x="42"/>
        <item x="26"/>
        <item x="36"/>
        <item x="85"/>
        <item x="79"/>
        <item x="100"/>
        <item x="95"/>
        <item x="66"/>
        <item x="7"/>
        <item x="4"/>
        <item x="34"/>
        <item x="30"/>
        <item x="57"/>
        <item x="69"/>
        <item x="98"/>
        <item x="25"/>
        <item x="70"/>
        <item x="58"/>
        <item x="40"/>
        <item x="74"/>
        <item x="24"/>
        <item x="14"/>
        <item x="51"/>
        <item x="89"/>
        <item x="88"/>
        <item x="65"/>
        <item x="56"/>
        <item x="13"/>
        <item x="12"/>
        <item x="87"/>
        <item x="103"/>
        <item x="86"/>
        <item x="68"/>
        <item x="37"/>
        <item x="71"/>
        <item x="62"/>
        <item x="3"/>
        <item x="10"/>
        <item x="81"/>
        <item x="49"/>
        <item x="54"/>
        <item x="72"/>
        <item x="28"/>
        <item x="6"/>
        <item x="48"/>
        <item x="92"/>
        <item x="19"/>
        <item x="108"/>
        <item x="109"/>
        <item x="17"/>
        <item x="21"/>
        <item x="94"/>
        <item t="default"/>
      </items>
    </pivotField>
    <pivotField showAll="0"/>
    <pivotField showAll="0">
      <items count="6">
        <item x="2"/>
        <item x="4"/>
        <item x="1"/>
        <item x="0"/>
        <item x="3"/>
        <item t="default"/>
      </items>
    </pivotField>
    <pivotField showAll="0">
      <items count="6">
        <item x="2"/>
        <item x="4"/>
        <item x="1"/>
        <item x="0"/>
        <item x="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h="1" x="0"/>
        <item h="1" x="1"/>
        <item h="1" x="2"/>
        <item h="1" x="3"/>
        <item x="4"/>
        <item h="1" x="5"/>
        <item t="default"/>
      </items>
    </pivotField>
    <pivotField showAll="0">
      <items count="8">
        <item x="0"/>
        <item sd="0" x="1"/>
        <item x="2"/>
        <item x="3"/>
        <item x="4"/>
        <item x="5"/>
        <item x="6"/>
        <item t="default"/>
      </items>
    </pivotField>
  </pivotFields>
  <rowFields count="1">
    <field x="1"/>
  </rowFields>
  <rowItems count="15">
    <i>
      <x v="21"/>
    </i>
    <i>
      <x v="22"/>
    </i>
    <i>
      <x v="23"/>
    </i>
    <i>
      <x v="44"/>
    </i>
    <i>
      <x v="45"/>
    </i>
    <i>
      <x v="76"/>
    </i>
    <i>
      <x v="77"/>
    </i>
    <i>
      <x v="78"/>
    </i>
    <i>
      <x v="79"/>
    </i>
    <i>
      <x v="80"/>
    </i>
    <i>
      <x v="98"/>
    </i>
    <i>
      <x v="99"/>
    </i>
    <i>
      <x v="100"/>
    </i>
    <i>
      <x v="101"/>
    </i>
    <i t="grand">
      <x/>
    </i>
  </rowItems>
  <colItems count="1">
    <i/>
  </colItems>
  <dataFields count="1">
    <dataField name="Sum of sheet8.Sales Amount" fld="8" baseField="0" baseItem="0"/>
  </dataFields>
  <chartFormats count="2">
    <chartFormat chart="9" format="3"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87BAAD-017C-4A03-A039-08BB695F7DEA}" name="PivotTable4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8:L25" firstHeaderRow="1" firstDataRow="1" firstDataCol="0"/>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595575-C8C0-492A-87DA-620334F5C76B}" name="PivotTable1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26">
    <pivotField showAll="0"/>
    <pivotField numFmtId="22" showAll="0">
      <items count="111">
        <item x="61"/>
        <item x="42"/>
        <item x="62"/>
        <item x="41"/>
        <item x="28"/>
        <item x="59"/>
        <item x="71"/>
        <item x="89"/>
        <item x="51"/>
        <item x="53"/>
        <item x="72"/>
        <item x="48"/>
        <item x="30"/>
        <item x="79"/>
        <item x="63"/>
        <item x="29"/>
        <item x="70"/>
        <item x="91"/>
        <item x="85"/>
        <item x="67"/>
        <item x="104"/>
        <item x="98"/>
        <item x="99"/>
        <item x="40"/>
        <item x="23"/>
        <item x="17"/>
        <item x="11"/>
        <item x="9"/>
        <item x="21"/>
        <item x="12"/>
        <item x="26"/>
        <item x="37"/>
        <item x="5"/>
        <item x="8"/>
        <item x="13"/>
        <item x="78"/>
        <item x="55"/>
        <item x="87"/>
        <item x="80"/>
        <item x="77"/>
        <item x="68"/>
        <item x="105"/>
        <item x="69"/>
        <item x="66"/>
        <item x="34"/>
        <item x="39"/>
        <item x="25"/>
        <item x="24"/>
        <item x="7"/>
        <item x="4"/>
        <item x="18"/>
        <item x="97"/>
        <item x="96"/>
        <item x="95"/>
        <item x="109"/>
        <item x="88"/>
        <item x="44"/>
        <item x="83"/>
        <item x="46"/>
        <item x="45"/>
        <item x="54"/>
        <item x="49"/>
        <item x="73"/>
        <item x="102"/>
        <item x="76"/>
        <item x="75"/>
        <item x="50"/>
        <item x="65"/>
        <item x="84"/>
        <item x="58"/>
        <item x="86"/>
        <item x="64"/>
        <item x="103"/>
        <item x="27"/>
        <item x="90"/>
        <item x="32"/>
        <item x="60"/>
        <item x="92"/>
        <item x="38"/>
        <item x="107"/>
        <item x="35"/>
        <item x="20"/>
        <item x="15"/>
        <item x="14"/>
        <item x="1"/>
        <item x="6"/>
        <item x="3"/>
        <item x="22"/>
        <item x="19"/>
        <item x="47"/>
        <item x="52"/>
        <item x="56"/>
        <item x="74"/>
        <item x="57"/>
        <item x="82"/>
        <item x="100"/>
        <item x="33"/>
        <item x="31"/>
        <item x="94"/>
        <item x="93"/>
        <item x="108"/>
        <item x="106"/>
        <item x="101"/>
        <item x="36"/>
        <item x="10"/>
        <item x="0"/>
        <item x="2"/>
        <item x="16"/>
        <item x="43"/>
        <item x="81"/>
        <item t="default"/>
      </items>
    </pivotField>
    <pivotField showAll="0"/>
    <pivotField showAll="0"/>
    <pivotField showAll="0"/>
    <pivotField showAll="0"/>
    <pivotField showAll="0"/>
    <pivotField showAll="0"/>
    <pivotField dataField="1" showAll="0"/>
    <pivotField showAll="0"/>
    <pivotField axis="axisRow" showAll="0">
      <items count="111">
        <item x="38"/>
        <item x="51"/>
        <item x="20"/>
        <item x="12"/>
        <item x="65"/>
        <item x="81"/>
        <item x="56"/>
        <item x="53"/>
        <item x="13"/>
        <item h="1" x="55"/>
        <item h="1" x="15"/>
        <item h="1" x="18"/>
        <item h="1" x="17"/>
        <item h="1" x="52"/>
        <item h="1" x="9"/>
        <item h="1" x="16"/>
        <item h="1" x="59"/>
        <item x="19"/>
        <item h="1" x="14"/>
        <item h="1" x="46"/>
        <item h="1" x="6"/>
        <item h="1" x="60"/>
        <item h="1" x="0"/>
        <item h="1" x="31"/>
        <item h="1" x="48"/>
        <item h="1" x="49"/>
        <item h="1" x="58"/>
        <item h="1" x="68"/>
        <item h="1" x="64"/>
        <item h="1" x="32"/>
        <item h="1" x="45"/>
        <item h="1" x="61"/>
        <item h="1" x="72"/>
        <item h="1" x="23"/>
        <item h="1" x="62"/>
        <item h="1" x="37"/>
        <item h="1" x="30"/>
        <item h="1" x="50"/>
        <item h="1" x="5"/>
        <item h="1" x="96"/>
        <item h="1" x="79"/>
        <item h="1" x="66"/>
        <item h="1" x="77"/>
        <item h="1" x="91"/>
        <item h="1" x="41"/>
        <item h="1" x="29"/>
        <item h="1" x="95"/>
        <item h="1" x="92"/>
        <item h="1" x="67"/>
        <item h="1" x="21"/>
        <item h="1" x="80"/>
        <item h="1" x="69"/>
        <item h="1" x="57"/>
        <item h="1" x="104"/>
        <item h="1" x="85"/>
        <item h="1" x="39"/>
        <item h="1" x="4"/>
        <item h="1" x="35"/>
        <item h="1" x="102"/>
        <item h="1" x="83"/>
        <item h="1" x="22"/>
        <item h="1" x="98"/>
        <item h="1" x="107"/>
        <item h="1" x="87"/>
        <item h="1" x="36"/>
        <item h="1" x="43"/>
        <item h="1" x="109"/>
        <item h="1" x="28"/>
        <item h="1" x="54"/>
        <item h="1" x="103"/>
        <item h="1" x="7"/>
        <item h="1" x="86"/>
        <item h="1" x="42"/>
        <item h="1" x="70"/>
        <item h="1" x="90"/>
        <item h="1" x="40"/>
        <item h="1" x="44"/>
        <item h="1" x="93"/>
        <item h="1" x="88"/>
        <item h="1" x="1"/>
        <item h="1" x="27"/>
        <item h="1" x="105"/>
        <item h="1" x="78"/>
        <item h="1" x="82"/>
        <item h="1" x="10"/>
        <item h="1" x="73"/>
        <item h="1" x="84"/>
        <item h="1" x="8"/>
        <item h="1" x="33"/>
        <item h="1" x="89"/>
        <item h="1" x="101"/>
        <item h="1" x="63"/>
        <item h="1" x="99"/>
        <item h="1" x="108"/>
        <item h="1" x="26"/>
        <item h="1" x="11"/>
        <item h="1" x="71"/>
        <item h="1" x="106"/>
        <item h="1" x="97"/>
        <item h="1" x="24"/>
        <item h="1" x="2"/>
        <item h="1" x="94"/>
        <item h="1" x="25"/>
        <item h="1" x="76"/>
        <item h="1" x="75"/>
        <item h="1" x="34"/>
        <item h="1" x="100"/>
        <item h="1" x="3"/>
        <item h="1" x="74"/>
        <item h="1" x="47"/>
        <item t="default"/>
      </items>
    </pivotField>
    <pivotField showAll="0"/>
    <pivotField showAll="0"/>
    <pivotField showAll="0">
      <items count="111">
        <item x="76"/>
        <item x="35"/>
        <item x="77"/>
        <item x="73"/>
        <item x="2"/>
        <item x="33"/>
        <item x="32"/>
        <item x="27"/>
        <item x="64"/>
        <item x="50"/>
        <item x="67"/>
        <item x="16"/>
        <item x="41"/>
        <item x="75"/>
        <item x="22"/>
        <item x="59"/>
        <item x="97"/>
        <item x="52"/>
        <item x="90"/>
        <item x="38"/>
        <item x="80"/>
        <item x="8"/>
        <item x="61"/>
        <item x="102"/>
        <item x="20"/>
        <item x="23"/>
        <item x="11"/>
        <item x="53"/>
        <item x="83"/>
        <item x="78"/>
        <item x="5"/>
        <item x="44"/>
        <item x="106"/>
        <item x="96"/>
        <item x="31"/>
        <item x="15"/>
        <item x="39"/>
        <item x="99"/>
        <item x="47"/>
        <item x="105"/>
        <item x="0"/>
        <item x="82"/>
        <item x="43"/>
        <item x="9"/>
        <item x="1"/>
        <item x="18"/>
        <item x="104"/>
        <item x="84"/>
        <item x="101"/>
        <item x="55"/>
        <item x="45"/>
        <item x="46"/>
        <item x="91"/>
        <item x="93"/>
        <item x="63"/>
        <item x="107"/>
        <item x="29"/>
        <item x="60"/>
        <item x="42"/>
        <item x="26"/>
        <item x="36"/>
        <item x="85"/>
        <item x="79"/>
        <item x="100"/>
        <item x="95"/>
        <item x="66"/>
        <item x="7"/>
        <item x="4"/>
        <item x="34"/>
        <item x="30"/>
        <item x="57"/>
        <item x="69"/>
        <item x="98"/>
        <item x="25"/>
        <item x="70"/>
        <item x="58"/>
        <item x="40"/>
        <item x="74"/>
        <item x="24"/>
        <item x="14"/>
        <item x="51"/>
        <item x="89"/>
        <item x="88"/>
        <item x="65"/>
        <item x="56"/>
        <item x="13"/>
        <item x="12"/>
        <item x="87"/>
        <item x="103"/>
        <item x="86"/>
        <item x="68"/>
        <item x="37"/>
        <item x="71"/>
        <item x="62"/>
        <item x="3"/>
        <item x="10"/>
        <item x="81"/>
        <item x="49"/>
        <item x="54"/>
        <item x="72"/>
        <item x="28"/>
        <item x="6"/>
        <item x="48"/>
        <item x="92"/>
        <item x="19"/>
        <item x="108"/>
        <item x="109"/>
        <item x="17"/>
        <item x="21"/>
        <item x="94"/>
        <item t="default"/>
      </items>
    </pivotField>
    <pivotField showAll="0"/>
    <pivotField showAll="0"/>
    <pivotField showAll="0">
      <items count="6">
        <item x="2"/>
        <item x="4"/>
        <item x="1"/>
        <item x="0"/>
        <item x="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h="1" x="0"/>
        <item h="1" x="1"/>
        <item h="1" x="2"/>
        <item h="1" x="3"/>
        <item x="4"/>
        <item h="1" x="5"/>
        <item t="default"/>
      </items>
    </pivotField>
    <pivotField showAll="0">
      <items count="8">
        <item x="0"/>
        <item x="1"/>
        <item x="2"/>
        <item x="3"/>
        <item x="4"/>
        <item x="5"/>
        <item x="6"/>
        <item t="default"/>
      </items>
    </pivotField>
  </pivotFields>
  <rowFields count="1">
    <field x="10"/>
  </rowFields>
  <rowItems count="2">
    <i>
      <x/>
    </i>
    <i t="grand">
      <x/>
    </i>
  </rowItems>
  <colItems count="1">
    <i/>
  </colItems>
  <dataFields count="1">
    <dataField name="Sum of sheet8.Sales Amount" fld="8" baseField="0" baseItem="0"/>
  </dataFields>
  <chartFormats count="12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0" count="1" selected="0">
            <x v="0"/>
          </reference>
        </references>
      </pivotArea>
    </chartFormat>
    <chartFormat chart="5" format="2">
      <pivotArea type="data" outline="0" fieldPosition="0">
        <references count="2">
          <reference field="4294967294" count="1" selected="0">
            <x v="0"/>
          </reference>
          <reference field="10" count="1" selected="0">
            <x v="1"/>
          </reference>
        </references>
      </pivotArea>
    </chartFormat>
    <chartFormat chart="5" format="3">
      <pivotArea type="data" outline="0" fieldPosition="0">
        <references count="2">
          <reference field="4294967294" count="1" selected="0">
            <x v="0"/>
          </reference>
          <reference field="10" count="1" selected="0">
            <x v="2"/>
          </reference>
        </references>
      </pivotArea>
    </chartFormat>
    <chartFormat chart="5" format="4">
      <pivotArea type="data" outline="0" fieldPosition="0">
        <references count="2">
          <reference field="4294967294" count="1" selected="0">
            <x v="0"/>
          </reference>
          <reference field="10" count="1" selected="0">
            <x v="3"/>
          </reference>
        </references>
      </pivotArea>
    </chartFormat>
    <chartFormat chart="5" format="5">
      <pivotArea type="data" outline="0" fieldPosition="0">
        <references count="2">
          <reference field="4294967294" count="1" selected="0">
            <x v="0"/>
          </reference>
          <reference field="10" count="1" selected="0">
            <x v="4"/>
          </reference>
        </references>
      </pivotArea>
    </chartFormat>
    <chartFormat chart="5" format="6">
      <pivotArea type="data" outline="0" fieldPosition="0">
        <references count="2">
          <reference field="4294967294" count="1" selected="0">
            <x v="0"/>
          </reference>
          <reference field="10" count="1" selected="0">
            <x v="5"/>
          </reference>
        </references>
      </pivotArea>
    </chartFormat>
    <chartFormat chart="5" format="7">
      <pivotArea type="data" outline="0" fieldPosition="0">
        <references count="2">
          <reference field="4294967294" count="1" selected="0">
            <x v="0"/>
          </reference>
          <reference field="10" count="1" selected="0">
            <x v="6"/>
          </reference>
        </references>
      </pivotArea>
    </chartFormat>
    <chartFormat chart="5" format="8">
      <pivotArea type="data" outline="0" fieldPosition="0">
        <references count="2">
          <reference field="4294967294" count="1" selected="0">
            <x v="0"/>
          </reference>
          <reference field="10" count="1" selected="0">
            <x v="7"/>
          </reference>
        </references>
      </pivotArea>
    </chartFormat>
    <chartFormat chart="5" format="9">
      <pivotArea type="data" outline="0" fieldPosition="0">
        <references count="2">
          <reference field="4294967294" count="1" selected="0">
            <x v="0"/>
          </reference>
          <reference field="10" count="1" selected="0">
            <x v="8"/>
          </reference>
        </references>
      </pivotArea>
    </chartFormat>
    <chartFormat chart="5" format="10">
      <pivotArea type="data" outline="0" fieldPosition="0">
        <references count="2">
          <reference field="4294967294" count="1" selected="0">
            <x v="0"/>
          </reference>
          <reference field="10" count="1" selected="0">
            <x v="9"/>
          </reference>
        </references>
      </pivotArea>
    </chartFormat>
    <chartFormat chart="5" format="11">
      <pivotArea type="data" outline="0" fieldPosition="0">
        <references count="2">
          <reference field="4294967294" count="1" selected="0">
            <x v="0"/>
          </reference>
          <reference field="10" count="1" selected="0">
            <x v="10"/>
          </reference>
        </references>
      </pivotArea>
    </chartFormat>
    <chartFormat chart="5" format="12">
      <pivotArea type="data" outline="0" fieldPosition="0">
        <references count="2">
          <reference field="4294967294" count="1" selected="0">
            <x v="0"/>
          </reference>
          <reference field="10" count="1" selected="0">
            <x v="11"/>
          </reference>
        </references>
      </pivotArea>
    </chartFormat>
    <chartFormat chart="5" format="13">
      <pivotArea type="data" outline="0" fieldPosition="0">
        <references count="2">
          <reference field="4294967294" count="1" selected="0">
            <x v="0"/>
          </reference>
          <reference field="10" count="1" selected="0">
            <x v="12"/>
          </reference>
        </references>
      </pivotArea>
    </chartFormat>
    <chartFormat chart="5" format="14">
      <pivotArea type="data" outline="0" fieldPosition="0">
        <references count="2">
          <reference field="4294967294" count="1" selected="0">
            <x v="0"/>
          </reference>
          <reference field="10" count="1" selected="0">
            <x v="13"/>
          </reference>
        </references>
      </pivotArea>
    </chartFormat>
    <chartFormat chart="5" format="15">
      <pivotArea type="data" outline="0" fieldPosition="0">
        <references count="2">
          <reference field="4294967294" count="1" selected="0">
            <x v="0"/>
          </reference>
          <reference field="10" count="1" selected="0">
            <x v="14"/>
          </reference>
        </references>
      </pivotArea>
    </chartFormat>
    <chartFormat chart="5" format="16">
      <pivotArea type="data" outline="0" fieldPosition="0">
        <references count="2">
          <reference field="4294967294" count="1" selected="0">
            <x v="0"/>
          </reference>
          <reference field="10" count="1" selected="0">
            <x v="15"/>
          </reference>
        </references>
      </pivotArea>
    </chartFormat>
    <chartFormat chart="5" format="17">
      <pivotArea type="data" outline="0" fieldPosition="0">
        <references count="2">
          <reference field="4294967294" count="1" selected="0">
            <x v="0"/>
          </reference>
          <reference field="10" count="1" selected="0">
            <x v="16"/>
          </reference>
        </references>
      </pivotArea>
    </chartFormat>
    <chartFormat chart="5" format="18">
      <pivotArea type="data" outline="0" fieldPosition="0">
        <references count="2">
          <reference field="4294967294" count="1" selected="0">
            <x v="0"/>
          </reference>
          <reference field="10" count="1" selected="0">
            <x v="17"/>
          </reference>
        </references>
      </pivotArea>
    </chartFormat>
    <chartFormat chart="5" format="19">
      <pivotArea type="data" outline="0" fieldPosition="0">
        <references count="2">
          <reference field="4294967294" count="1" selected="0">
            <x v="0"/>
          </reference>
          <reference field="10" count="1" selected="0">
            <x v="18"/>
          </reference>
        </references>
      </pivotArea>
    </chartFormat>
    <chartFormat chart="5" format="20">
      <pivotArea type="data" outline="0" fieldPosition="0">
        <references count="2">
          <reference field="4294967294" count="1" selected="0">
            <x v="0"/>
          </reference>
          <reference field="10" count="1" selected="0">
            <x v="19"/>
          </reference>
        </references>
      </pivotArea>
    </chartFormat>
    <chartFormat chart="5" format="21">
      <pivotArea type="data" outline="0" fieldPosition="0">
        <references count="2">
          <reference field="4294967294" count="1" selected="0">
            <x v="0"/>
          </reference>
          <reference field="10" count="1" selected="0">
            <x v="20"/>
          </reference>
        </references>
      </pivotArea>
    </chartFormat>
    <chartFormat chart="5" format="22">
      <pivotArea type="data" outline="0" fieldPosition="0">
        <references count="2">
          <reference field="4294967294" count="1" selected="0">
            <x v="0"/>
          </reference>
          <reference field="10" count="1" selected="0">
            <x v="21"/>
          </reference>
        </references>
      </pivotArea>
    </chartFormat>
    <chartFormat chart="5" format="23">
      <pivotArea type="data" outline="0" fieldPosition="0">
        <references count="2">
          <reference field="4294967294" count="1" selected="0">
            <x v="0"/>
          </reference>
          <reference field="10" count="1" selected="0">
            <x v="22"/>
          </reference>
        </references>
      </pivotArea>
    </chartFormat>
    <chartFormat chart="5" format="24">
      <pivotArea type="data" outline="0" fieldPosition="0">
        <references count="2">
          <reference field="4294967294" count="1" selected="0">
            <x v="0"/>
          </reference>
          <reference field="10" count="1" selected="0">
            <x v="23"/>
          </reference>
        </references>
      </pivotArea>
    </chartFormat>
    <chartFormat chart="5" format="25">
      <pivotArea type="data" outline="0" fieldPosition="0">
        <references count="2">
          <reference field="4294967294" count="1" selected="0">
            <x v="0"/>
          </reference>
          <reference field="10" count="1" selected="0">
            <x v="24"/>
          </reference>
        </references>
      </pivotArea>
    </chartFormat>
    <chartFormat chart="5" format="26">
      <pivotArea type="data" outline="0" fieldPosition="0">
        <references count="2">
          <reference field="4294967294" count="1" selected="0">
            <x v="0"/>
          </reference>
          <reference field="10" count="1" selected="0">
            <x v="25"/>
          </reference>
        </references>
      </pivotArea>
    </chartFormat>
    <chartFormat chart="5" format="27">
      <pivotArea type="data" outline="0" fieldPosition="0">
        <references count="2">
          <reference field="4294967294" count="1" selected="0">
            <x v="0"/>
          </reference>
          <reference field="10" count="1" selected="0">
            <x v="26"/>
          </reference>
        </references>
      </pivotArea>
    </chartFormat>
    <chartFormat chart="5" format="28">
      <pivotArea type="data" outline="0" fieldPosition="0">
        <references count="2">
          <reference field="4294967294" count="1" selected="0">
            <x v="0"/>
          </reference>
          <reference field="10" count="1" selected="0">
            <x v="27"/>
          </reference>
        </references>
      </pivotArea>
    </chartFormat>
    <chartFormat chart="5" format="29">
      <pivotArea type="data" outline="0" fieldPosition="0">
        <references count="2">
          <reference field="4294967294" count="1" selected="0">
            <x v="0"/>
          </reference>
          <reference field="10" count="1" selected="0">
            <x v="28"/>
          </reference>
        </references>
      </pivotArea>
    </chartFormat>
    <chartFormat chart="5" format="30">
      <pivotArea type="data" outline="0" fieldPosition="0">
        <references count="2">
          <reference field="4294967294" count="1" selected="0">
            <x v="0"/>
          </reference>
          <reference field="10" count="1" selected="0">
            <x v="29"/>
          </reference>
        </references>
      </pivotArea>
    </chartFormat>
    <chartFormat chart="5" format="31">
      <pivotArea type="data" outline="0" fieldPosition="0">
        <references count="2">
          <reference field="4294967294" count="1" selected="0">
            <x v="0"/>
          </reference>
          <reference field="10" count="1" selected="0">
            <x v="30"/>
          </reference>
        </references>
      </pivotArea>
    </chartFormat>
    <chartFormat chart="5" format="32">
      <pivotArea type="data" outline="0" fieldPosition="0">
        <references count="2">
          <reference field="4294967294" count="1" selected="0">
            <x v="0"/>
          </reference>
          <reference field="10" count="1" selected="0">
            <x v="31"/>
          </reference>
        </references>
      </pivotArea>
    </chartFormat>
    <chartFormat chart="5" format="33">
      <pivotArea type="data" outline="0" fieldPosition="0">
        <references count="2">
          <reference field="4294967294" count="1" selected="0">
            <x v="0"/>
          </reference>
          <reference field="10" count="1" selected="0">
            <x v="32"/>
          </reference>
        </references>
      </pivotArea>
    </chartFormat>
    <chartFormat chart="5" format="34">
      <pivotArea type="data" outline="0" fieldPosition="0">
        <references count="2">
          <reference field="4294967294" count="1" selected="0">
            <x v="0"/>
          </reference>
          <reference field="10" count="1" selected="0">
            <x v="33"/>
          </reference>
        </references>
      </pivotArea>
    </chartFormat>
    <chartFormat chart="5" format="35">
      <pivotArea type="data" outline="0" fieldPosition="0">
        <references count="2">
          <reference field="4294967294" count="1" selected="0">
            <x v="0"/>
          </reference>
          <reference field="10" count="1" selected="0">
            <x v="34"/>
          </reference>
        </references>
      </pivotArea>
    </chartFormat>
    <chartFormat chart="5" format="36">
      <pivotArea type="data" outline="0" fieldPosition="0">
        <references count="2">
          <reference field="4294967294" count="1" selected="0">
            <x v="0"/>
          </reference>
          <reference field="10" count="1" selected="0">
            <x v="35"/>
          </reference>
        </references>
      </pivotArea>
    </chartFormat>
    <chartFormat chart="5" format="37">
      <pivotArea type="data" outline="0" fieldPosition="0">
        <references count="2">
          <reference field="4294967294" count="1" selected="0">
            <x v="0"/>
          </reference>
          <reference field="10" count="1" selected="0">
            <x v="36"/>
          </reference>
        </references>
      </pivotArea>
    </chartFormat>
    <chartFormat chart="5" format="38">
      <pivotArea type="data" outline="0" fieldPosition="0">
        <references count="2">
          <reference field="4294967294" count="1" selected="0">
            <x v="0"/>
          </reference>
          <reference field="10" count="1" selected="0">
            <x v="37"/>
          </reference>
        </references>
      </pivotArea>
    </chartFormat>
    <chartFormat chart="5" format="39">
      <pivotArea type="data" outline="0" fieldPosition="0">
        <references count="2">
          <reference field="4294967294" count="1" selected="0">
            <x v="0"/>
          </reference>
          <reference field="10" count="1" selected="0">
            <x v="38"/>
          </reference>
        </references>
      </pivotArea>
    </chartFormat>
    <chartFormat chart="5" format="40">
      <pivotArea type="data" outline="0" fieldPosition="0">
        <references count="2">
          <reference field="4294967294" count="1" selected="0">
            <x v="0"/>
          </reference>
          <reference field="10" count="1" selected="0">
            <x v="39"/>
          </reference>
        </references>
      </pivotArea>
    </chartFormat>
    <chartFormat chart="5" format="41">
      <pivotArea type="data" outline="0" fieldPosition="0">
        <references count="2">
          <reference field="4294967294" count="1" selected="0">
            <x v="0"/>
          </reference>
          <reference field="10" count="1" selected="0">
            <x v="40"/>
          </reference>
        </references>
      </pivotArea>
    </chartFormat>
    <chartFormat chart="5" format="42">
      <pivotArea type="data" outline="0" fieldPosition="0">
        <references count="2">
          <reference field="4294967294" count="1" selected="0">
            <x v="0"/>
          </reference>
          <reference field="10" count="1" selected="0">
            <x v="41"/>
          </reference>
        </references>
      </pivotArea>
    </chartFormat>
    <chartFormat chart="5" format="43">
      <pivotArea type="data" outline="0" fieldPosition="0">
        <references count="2">
          <reference field="4294967294" count="1" selected="0">
            <x v="0"/>
          </reference>
          <reference field="10" count="1" selected="0">
            <x v="42"/>
          </reference>
        </references>
      </pivotArea>
    </chartFormat>
    <chartFormat chart="5" format="44">
      <pivotArea type="data" outline="0" fieldPosition="0">
        <references count="2">
          <reference field="4294967294" count="1" selected="0">
            <x v="0"/>
          </reference>
          <reference field="10" count="1" selected="0">
            <x v="43"/>
          </reference>
        </references>
      </pivotArea>
    </chartFormat>
    <chartFormat chart="5" format="45">
      <pivotArea type="data" outline="0" fieldPosition="0">
        <references count="2">
          <reference field="4294967294" count="1" selected="0">
            <x v="0"/>
          </reference>
          <reference field="10" count="1" selected="0">
            <x v="44"/>
          </reference>
        </references>
      </pivotArea>
    </chartFormat>
    <chartFormat chart="5" format="46">
      <pivotArea type="data" outline="0" fieldPosition="0">
        <references count="2">
          <reference field="4294967294" count="1" selected="0">
            <x v="0"/>
          </reference>
          <reference field="10" count="1" selected="0">
            <x v="45"/>
          </reference>
        </references>
      </pivotArea>
    </chartFormat>
    <chartFormat chart="5" format="47">
      <pivotArea type="data" outline="0" fieldPosition="0">
        <references count="2">
          <reference field="4294967294" count="1" selected="0">
            <x v="0"/>
          </reference>
          <reference field="10" count="1" selected="0">
            <x v="46"/>
          </reference>
        </references>
      </pivotArea>
    </chartFormat>
    <chartFormat chart="5" format="48">
      <pivotArea type="data" outline="0" fieldPosition="0">
        <references count="2">
          <reference field="4294967294" count="1" selected="0">
            <x v="0"/>
          </reference>
          <reference field="10" count="1" selected="0">
            <x v="47"/>
          </reference>
        </references>
      </pivotArea>
    </chartFormat>
    <chartFormat chart="5" format="49">
      <pivotArea type="data" outline="0" fieldPosition="0">
        <references count="2">
          <reference field="4294967294" count="1" selected="0">
            <x v="0"/>
          </reference>
          <reference field="10" count="1" selected="0">
            <x v="48"/>
          </reference>
        </references>
      </pivotArea>
    </chartFormat>
    <chartFormat chart="5" format="50">
      <pivotArea type="data" outline="0" fieldPosition="0">
        <references count="2">
          <reference field="4294967294" count="1" selected="0">
            <x v="0"/>
          </reference>
          <reference field="10" count="1" selected="0">
            <x v="49"/>
          </reference>
        </references>
      </pivotArea>
    </chartFormat>
    <chartFormat chart="5" format="51">
      <pivotArea type="data" outline="0" fieldPosition="0">
        <references count="2">
          <reference field="4294967294" count="1" selected="0">
            <x v="0"/>
          </reference>
          <reference field="10" count="1" selected="0">
            <x v="50"/>
          </reference>
        </references>
      </pivotArea>
    </chartFormat>
    <chartFormat chart="5" format="52">
      <pivotArea type="data" outline="0" fieldPosition="0">
        <references count="2">
          <reference field="4294967294" count="1" selected="0">
            <x v="0"/>
          </reference>
          <reference field="10" count="1" selected="0">
            <x v="51"/>
          </reference>
        </references>
      </pivotArea>
    </chartFormat>
    <chartFormat chart="5" format="53">
      <pivotArea type="data" outline="0" fieldPosition="0">
        <references count="2">
          <reference field="4294967294" count="1" selected="0">
            <x v="0"/>
          </reference>
          <reference field="10" count="1" selected="0">
            <x v="52"/>
          </reference>
        </references>
      </pivotArea>
    </chartFormat>
    <chartFormat chart="5" format="54">
      <pivotArea type="data" outline="0" fieldPosition="0">
        <references count="2">
          <reference field="4294967294" count="1" selected="0">
            <x v="0"/>
          </reference>
          <reference field="10" count="1" selected="0">
            <x v="53"/>
          </reference>
        </references>
      </pivotArea>
    </chartFormat>
    <chartFormat chart="5" format="55">
      <pivotArea type="data" outline="0" fieldPosition="0">
        <references count="2">
          <reference field="4294967294" count="1" selected="0">
            <x v="0"/>
          </reference>
          <reference field="10" count="1" selected="0">
            <x v="54"/>
          </reference>
        </references>
      </pivotArea>
    </chartFormat>
    <chartFormat chart="5" format="56">
      <pivotArea type="data" outline="0" fieldPosition="0">
        <references count="2">
          <reference field="4294967294" count="1" selected="0">
            <x v="0"/>
          </reference>
          <reference field="10" count="1" selected="0">
            <x v="55"/>
          </reference>
        </references>
      </pivotArea>
    </chartFormat>
    <chartFormat chart="5" format="57">
      <pivotArea type="data" outline="0" fieldPosition="0">
        <references count="2">
          <reference field="4294967294" count="1" selected="0">
            <x v="0"/>
          </reference>
          <reference field="10" count="1" selected="0">
            <x v="56"/>
          </reference>
        </references>
      </pivotArea>
    </chartFormat>
    <chartFormat chart="5" format="58">
      <pivotArea type="data" outline="0" fieldPosition="0">
        <references count="2">
          <reference field="4294967294" count="1" selected="0">
            <x v="0"/>
          </reference>
          <reference field="10" count="1" selected="0">
            <x v="57"/>
          </reference>
        </references>
      </pivotArea>
    </chartFormat>
    <chartFormat chart="5" format="59">
      <pivotArea type="data" outline="0" fieldPosition="0">
        <references count="2">
          <reference field="4294967294" count="1" selected="0">
            <x v="0"/>
          </reference>
          <reference field="10" count="1" selected="0">
            <x v="58"/>
          </reference>
        </references>
      </pivotArea>
    </chartFormat>
    <chartFormat chart="5" format="60">
      <pivotArea type="data" outline="0" fieldPosition="0">
        <references count="2">
          <reference field="4294967294" count="1" selected="0">
            <x v="0"/>
          </reference>
          <reference field="10" count="1" selected="0">
            <x v="59"/>
          </reference>
        </references>
      </pivotArea>
    </chartFormat>
    <chartFormat chart="5" format="61">
      <pivotArea type="data" outline="0" fieldPosition="0">
        <references count="2">
          <reference field="4294967294" count="1" selected="0">
            <x v="0"/>
          </reference>
          <reference field="10" count="1" selected="0">
            <x v="60"/>
          </reference>
        </references>
      </pivotArea>
    </chartFormat>
    <chartFormat chart="5" format="62">
      <pivotArea type="data" outline="0" fieldPosition="0">
        <references count="2">
          <reference field="4294967294" count="1" selected="0">
            <x v="0"/>
          </reference>
          <reference field="10" count="1" selected="0">
            <x v="61"/>
          </reference>
        </references>
      </pivotArea>
    </chartFormat>
    <chartFormat chart="5" format="63">
      <pivotArea type="data" outline="0" fieldPosition="0">
        <references count="2">
          <reference field="4294967294" count="1" selected="0">
            <x v="0"/>
          </reference>
          <reference field="10" count="1" selected="0">
            <x v="62"/>
          </reference>
        </references>
      </pivotArea>
    </chartFormat>
    <chartFormat chart="5" format="64">
      <pivotArea type="data" outline="0" fieldPosition="0">
        <references count="2">
          <reference field="4294967294" count="1" selected="0">
            <x v="0"/>
          </reference>
          <reference field="10" count="1" selected="0">
            <x v="63"/>
          </reference>
        </references>
      </pivotArea>
    </chartFormat>
    <chartFormat chart="5" format="65">
      <pivotArea type="data" outline="0" fieldPosition="0">
        <references count="2">
          <reference field="4294967294" count="1" selected="0">
            <x v="0"/>
          </reference>
          <reference field="10" count="1" selected="0">
            <x v="64"/>
          </reference>
        </references>
      </pivotArea>
    </chartFormat>
    <chartFormat chart="5" format="66">
      <pivotArea type="data" outline="0" fieldPosition="0">
        <references count="2">
          <reference field="4294967294" count="1" selected="0">
            <x v="0"/>
          </reference>
          <reference field="10" count="1" selected="0">
            <x v="65"/>
          </reference>
        </references>
      </pivotArea>
    </chartFormat>
    <chartFormat chart="5" format="67">
      <pivotArea type="data" outline="0" fieldPosition="0">
        <references count="2">
          <reference field="4294967294" count="1" selected="0">
            <x v="0"/>
          </reference>
          <reference field="10" count="1" selected="0">
            <x v="66"/>
          </reference>
        </references>
      </pivotArea>
    </chartFormat>
    <chartFormat chart="5" format="68">
      <pivotArea type="data" outline="0" fieldPosition="0">
        <references count="2">
          <reference field="4294967294" count="1" selected="0">
            <x v="0"/>
          </reference>
          <reference field="10" count="1" selected="0">
            <x v="67"/>
          </reference>
        </references>
      </pivotArea>
    </chartFormat>
    <chartFormat chart="5" format="69">
      <pivotArea type="data" outline="0" fieldPosition="0">
        <references count="2">
          <reference field="4294967294" count="1" selected="0">
            <x v="0"/>
          </reference>
          <reference field="10" count="1" selected="0">
            <x v="68"/>
          </reference>
        </references>
      </pivotArea>
    </chartFormat>
    <chartFormat chart="5" format="70">
      <pivotArea type="data" outline="0" fieldPosition="0">
        <references count="2">
          <reference field="4294967294" count="1" selected="0">
            <x v="0"/>
          </reference>
          <reference field="10" count="1" selected="0">
            <x v="69"/>
          </reference>
        </references>
      </pivotArea>
    </chartFormat>
    <chartFormat chart="5" format="71">
      <pivotArea type="data" outline="0" fieldPosition="0">
        <references count="2">
          <reference field="4294967294" count="1" selected="0">
            <x v="0"/>
          </reference>
          <reference field="10" count="1" selected="0">
            <x v="70"/>
          </reference>
        </references>
      </pivotArea>
    </chartFormat>
    <chartFormat chart="5" format="72">
      <pivotArea type="data" outline="0" fieldPosition="0">
        <references count="2">
          <reference field="4294967294" count="1" selected="0">
            <x v="0"/>
          </reference>
          <reference field="10" count="1" selected="0">
            <x v="71"/>
          </reference>
        </references>
      </pivotArea>
    </chartFormat>
    <chartFormat chart="5" format="73">
      <pivotArea type="data" outline="0" fieldPosition="0">
        <references count="2">
          <reference field="4294967294" count="1" selected="0">
            <x v="0"/>
          </reference>
          <reference field="10" count="1" selected="0">
            <x v="72"/>
          </reference>
        </references>
      </pivotArea>
    </chartFormat>
    <chartFormat chart="5" format="74">
      <pivotArea type="data" outline="0" fieldPosition="0">
        <references count="2">
          <reference field="4294967294" count="1" selected="0">
            <x v="0"/>
          </reference>
          <reference field="10" count="1" selected="0">
            <x v="73"/>
          </reference>
        </references>
      </pivotArea>
    </chartFormat>
    <chartFormat chart="5" format="75">
      <pivotArea type="data" outline="0" fieldPosition="0">
        <references count="2">
          <reference field="4294967294" count="1" selected="0">
            <x v="0"/>
          </reference>
          <reference field="10" count="1" selected="0">
            <x v="74"/>
          </reference>
        </references>
      </pivotArea>
    </chartFormat>
    <chartFormat chart="5" format="76">
      <pivotArea type="data" outline="0" fieldPosition="0">
        <references count="2">
          <reference field="4294967294" count="1" selected="0">
            <x v="0"/>
          </reference>
          <reference field="10" count="1" selected="0">
            <x v="75"/>
          </reference>
        </references>
      </pivotArea>
    </chartFormat>
    <chartFormat chart="5" format="77">
      <pivotArea type="data" outline="0" fieldPosition="0">
        <references count="2">
          <reference field="4294967294" count="1" selected="0">
            <x v="0"/>
          </reference>
          <reference field="10" count="1" selected="0">
            <x v="76"/>
          </reference>
        </references>
      </pivotArea>
    </chartFormat>
    <chartFormat chart="5" format="78">
      <pivotArea type="data" outline="0" fieldPosition="0">
        <references count="2">
          <reference field="4294967294" count="1" selected="0">
            <x v="0"/>
          </reference>
          <reference field="10" count="1" selected="0">
            <x v="77"/>
          </reference>
        </references>
      </pivotArea>
    </chartFormat>
    <chartFormat chart="5" format="79">
      <pivotArea type="data" outline="0" fieldPosition="0">
        <references count="2">
          <reference field="4294967294" count="1" selected="0">
            <x v="0"/>
          </reference>
          <reference field="10" count="1" selected="0">
            <x v="78"/>
          </reference>
        </references>
      </pivotArea>
    </chartFormat>
    <chartFormat chart="5" format="80">
      <pivotArea type="data" outline="0" fieldPosition="0">
        <references count="2">
          <reference field="4294967294" count="1" selected="0">
            <x v="0"/>
          </reference>
          <reference field="10" count="1" selected="0">
            <x v="79"/>
          </reference>
        </references>
      </pivotArea>
    </chartFormat>
    <chartFormat chart="5" format="81">
      <pivotArea type="data" outline="0" fieldPosition="0">
        <references count="2">
          <reference field="4294967294" count="1" selected="0">
            <x v="0"/>
          </reference>
          <reference field="10" count="1" selected="0">
            <x v="80"/>
          </reference>
        </references>
      </pivotArea>
    </chartFormat>
    <chartFormat chart="5" format="82">
      <pivotArea type="data" outline="0" fieldPosition="0">
        <references count="2">
          <reference field="4294967294" count="1" selected="0">
            <x v="0"/>
          </reference>
          <reference field="10" count="1" selected="0">
            <x v="81"/>
          </reference>
        </references>
      </pivotArea>
    </chartFormat>
    <chartFormat chart="5" format="83">
      <pivotArea type="data" outline="0" fieldPosition="0">
        <references count="2">
          <reference field="4294967294" count="1" selected="0">
            <x v="0"/>
          </reference>
          <reference field="10" count="1" selected="0">
            <x v="82"/>
          </reference>
        </references>
      </pivotArea>
    </chartFormat>
    <chartFormat chart="5" format="84">
      <pivotArea type="data" outline="0" fieldPosition="0">
        <references count="2">
          <reference field="4294967294" count="1" selected="0">
            <x v="0"/>
          </reference>
          <reference field="10" count="1" selected="0">
            <x v="83"/>
          </reference>
        </references>
      </pivotArea>
    </chartFormat>
    <chartFormat chart="5" format="85">
      <pivotArea type="data" outline="0" fieldPosition="0">
        <references count="2">
          <reference field="4294967294" count="1" selected="0">
            <x v="0"/>
          </reference>
          <reference field="10" count="1" selected="0">
            <x v="84"/>
          </reference>
        </references>
      </pivotArea>
    </chartFormat>
    <chartFormat chart="5" format="86">
      <pivotArea type="data" outline="0" fieldPosition="0">
        <references count="2">
          <reference field="4294967294" count="1" selected="0">
            <x v="0"/>
          </reference>
          <reference field="10" count="1" selected="0">
            <x v="85"/>
          </reference>
        </references>
      </pivotArea>
    </chartFormat>
    <chartFormat chart="5" format="87">
      <pivotArea type="data" outline="0" fieldPosition="0">
        <references count="2">
          <reference field="4294967294" count="1" selected="0">
            <x v="0"/>
          </reference>
          <reference field="10" count="1" selected="0">
            <x v="86"/>
          </reference>
        </references>
      </pivotArea>
    </chartFormat>
    <chartFormat chart="5" format="88">
      <pivotArea type="data" outline="0" fieldPosition="0">
        <references count="2">
          <reference field="4294967294" count="1" selected="0">
            <x v="0"/>
          </reference>
          <reference field="10" count="1" selected="0">
            <x v="87"/>
          </reference>
        </references>
      </pivotArea>
    </chartFormat>
    <chartFormat chart="5" format="89">
      <pivotArea type="data" outline="0" fieldPosition="0">
        <references count="2">
          <reference field="4294967294" count="1" selected="0">
            <x v="0"/>
          </reference>
          <reference field="10" count="1" selected="0">
            <x v="88"/>
          </reference>
        </references>
      </pivotArea>
    </chartFormat>
    <chartFormat chart="5" format="90">
      <pivotArea type="data" outline="0" fieldPosition="0">
        <references count="2">
          <reference field="4294967294" count="1" selected="0">
            <x v="0"/>
          </reference>
          <reference field="10" count="1" selected="0">
            <x v="89"/>
          </reference>
        </references>
      </pivotArea>
    </chartFormat>
    <chartFormat chart="5" format="91">
      <pivotArea type="data" outline="0" fieldPosition="0">
        <references count="2">
          <reference field="4294967294" count="1" selected="0">
            <x v="0"/>
          </reference>
          <reference field="10" count="1" selected="0">
            <x v="90"/>
          </reference>
        </references>
      </pivotArea>
    </chartFormat>
    <chartFormat chart="5" format="92">
      <pivotArea type="data" outline="0" fieldPosition="0">
        <references count="2">
          <reference field="4294967294" count="1" selected="0">
            <x v="0"/>
          </reference>
          <reference field="10" count="1" selected="0">
            <x v="91"/>
          </reference>
        </references>
      </pivotArea>
    </chartFormat>
    <chartFormat chart="5" format="93">
      <pivotArea type="data" outline="0" fieldPosition="0">
        <references count="2">
          <reference field="4294967294" count="1" selected="0">
            <x v="0"/>
          </reference>
          <reference field="10" count="1" selected="0">
            <x v="92"/>
          </reference>
        </references>
      </pivotArea>
    </chartFormat>
    <chartFormat chart="5" format="94">
      <pivotArea type="data" outline="0" fieldPosition="0">
        <references count="2">
          <reference field="4294967294" count="1" selected="0">
            <x v="0"/>
          </reference>
          <reference field="10" count="1" selected="0">
            <x v="93"/>
          </reference>
        </references>
      </pivotArea>
    </chartFormat>
    <chartFormat chart="5" format="95">
      <pivotArea type="data" outline="0" fieldPosition="0">
        <references count="2">
          <reference field="4294967294" count="1" selected="0">
            <x v="0"/>
          </reference>
          <reference field="10" count="1" selected="0">
            <x v="94"/>
          </reference>
        </references>
      </pivotArea>
    </chartFormat>
    <chartFormat chart="5" format="96">
      <pivotArea type="data" outline="0" fieldPosition="0">
        <references count="2">
          <reference field="4294967294" count="1" selected="0">
            <x v="0"/>
          </reference>
          <reference field="10" count="1" selected="0">
            <x v="95"/>
          </reference>
        </references>
      </pivotArea>
    </chartFormat>
    <chartFormat chart="5" format="97">
      <pivotArea type="data" outline="0" fieldPosition="0">
        <references count="2">
          <reference field="4294967294" count="1" selected="0">
            <x v="0"/>
          </reference>
          <reference field="10" count="1" selected="0">
            <x v="96"/>
          </reference>
        </references>
      </pivotArea>
    </chartFormat>
    <chartFormat chart="5" format="98">
      <pivotArea type="data" outline="0" fieldPosition="0">
        <references count="2">
          <reference field="4294967294" count="1" selected="0">
            <x v="0"/>
          </reference>
          <reference field="10" count="1" selected="0">
            <x v="97"/>
          </reference>
        </references>
      </pivotArea>
    </chartFormat>
    <chartFormat chart="5" format="99">
      <pivotArea type="data" outline="0" fieldPosition="0">
        <references count="2">
          <reference field="4294967294" count="1" selected="0">
            <x v="0"/>
          </reference>
          <reference field="10" count="1" selected="0">
            <x v="98"/>
          </reference>
        </references>
      </pivotArea>
    </chartFormat>
    <chartFormat chart="5" format="100">
      <pivotArea type="data" outline="0" fieldPosition="0">
        <references count="2">
          <reference field="4294967294" count="1" selected="0">
            <x v="0"/>
          </reference>
          <reference field="10" count="1" selected="0">
            <x v="99"/>
          </reference>
        </references>
      </pivotArea>
    </chartFormat>
    <chartFormat chart="5" format="101">
      <pivotArea type="data" outline="0" fieldPosition="0">
        <references count="2">
          <reference field="4294967294" count="1" selected="0">
            <x v="0"/>
          </reference>
          <reference field="10" count="1" selected="0">
            <x v="100"/>
          </reference>
        </references>
      </pivotArea>
    </chartFormat>
    <chartFormat chart="5" format="102">
      <pivotArea type="data" outline="0" fieldPosition="0">
        <references count="2">
          <reference field="4294967294" count="1" selected="0">
            <x v="0"/>
          </reference>
          <reference field="10" count="1" selected="0">
            <x v="101"/>
          </reference>
        </references>
      </pivotArea>
    </chartFormat>
    <chartFormat chart="5" format="103">
      <pivotArea type="data" outline="0" fieldPosition="0">
        <references count="2">
          <reference field="4294967294" count="1" selected="0">
            <x v="0"/>
          </reference>
          <reference field="10" count="1" selected="0">
            <x v="102"/>
          </reference>
        </references>
      </pivotArea>
    </chartFormat>
    <chartFormat chart="5" format="104">
      <pivotArea type="data" outline="0" fieldPosition="0">
        <references count="2">
          <reference field="4294967294" count="1" selected="0">
            <x v="0"/>
          </reference>
          <reference field="10" count="1" selected="0">
            <x v="103"/>
          </reference>
        </references>
      </pivotArea>
    </chartFormat>
    <chartFormat chart="5" format="105">
      <pivotArea type="data" outline="0" fieldPosition="0">
        <references count="2">
          <reference field="4294967294" count="1" selected="0">
            <x v="0"/>
          </reference>
          <reference field="10" count="1" selected="0">
            <x v="104"/>
          </reference>
        </references>
      </pivotArea>
    </chartFormat>
    <chartFormat chart="5" format="106">
      <pivotArea type="data" outline="0" fieldPosition="0">
        <references count="2">
          <reference field="4294967294" count="1" selected="0">
            <x v="0"/>
          </reference>
          <reference field="10" count="1" selected="0">
            <x v="105"/>
          </reference>
        </references>
      </pivotArea>
    </chartFormat>
    <chartFormat chart="5" format="107">
      <pivotArea type="data" outline="0" fieldPosition="0">
        <references count="2">
          <reference field="4294967294" count="1" selected="0">
            <x v="0"/>
          </reference>
          <reference field="10" count="1" selected="0">
            <x v="106"/>
          </reference>
        </references>
      </pivotArea>
    </chartFormat>
    <chartFormat chart="5" format="108">
      <pivotArea type="data" outline="0" fieldPosition="0">
        <references count="2">
          <reference field="4294967294" count="1" selected="0">
            <x v="0"/>
          </reference>
          <reference field="10" count="1" selected="0">
            <x v="107"/>
          </reference>
        </references>
      </pivotArea>
    </chartFormat>
    <chartFormat chart="5" format="109">
      <pivotArea type="data" outline="0" fieldPosition="0">
        <references count="2">
          <reference field="4294967294" count="1" selected="0">
            <x v="0"/>
          </reference>
          <reference field="10" count="1" selected="0">
            <x v="108"/>
          </reference>
        </references>
      </pivotArea>
    </chartFormat>
    <chartFormat chart="5" format="110">
      <pivotArea type="data" outline="0" fieldPosition="0">
        <references count="2">
          <reference field="4294967294" count="1" selected="0">
            <x v="0"/>
          </reference>
          <reference field="10" count="1" selected="0">
            <x v="109"/>
          </reference>
        </references>
      </pivotArea>
    </chartFormat>
    <chartFormat chart="7" format="121" series="1">
      <pivotArea type="data" outline="0" fieldPosition="0">
        <references count="1">
          <reference field="4294967294" count="1" selected="0">
            <x v="0"/>
          </reference>
        </references>
      </pivotArea>
    </chartFormat>
    <chartFormat chart="7" format="122">
      <pivotArea type="data" outline="0" fieldPosition="0">
        <references count="2">
          <reference field="4294967294" count="1" selected="0">
            <x v="0"/>
          </reference>
          <reference field="10" count="1" selected="0">
            <x v="0"/>
          </reference>
        </references>
      </pivotArea>
    </chartFormat>
    <chartFormat chart="7" format="123">
      <pivotArea type="data" outline="0" fieldPosition="0">
        <references count="2">
          <reference field="4294967294" count="1" selected="0">
            <x v="0"/>
          </reference>
          <reference field="10" count="1" selected="0">
            <x v="1"/>
          </reference>
        </references>
      </pivotArea>
    </chartFormat>
    <chartFormat chart="7" format="124">
      <pivotArea type="data" outline="0" fieldPosition="0">
        <references count="2">
          <reference field="4294967294" count="1" selected="0">
            <x v="0"/>
          </reference>
          <reference field="10" count="1" selected="0">
            <x v="2"/>
          </reference>
        </references>
      </pivotArea>
    </chartFormat>
    <chartFormat chart="7" format="125">
      <pivotArea type="data" outline="0" fieldPosition="0">
        <references count="2">
          <reference field="4294967294" count="1" selected="0">
            <x v="0"/>
          </reference>
          <reference field="10" count="1" selected="0">
            <x v="3"/>
          </reference>
        </references>
      </pivotArea>
    </chartFormat>
    <chartFormat chart="7" format="126">
      <pivotArea type="data" outline="0" fieldPosition="0">
        <references count="2">
          <reference field="4294967294" count="1" selected="0">
            <x v="0"/>
          </reference>
          <reference field="10" count="1" selected="0">
            <x v="4"/>
          </reference>
        </references>
      </pivotArea>
    </chartFormat>
    <chartFormat chart="7" format="127">
      <pivotArea type="data" outline="0" fieldPosition="0">
        <references count="2">
          <reference field="4294967294" count="1" selected="0">
            <x v="0"/>
          </reference>
          <reference field="10" count="1" selected="0">
            <x v="5"/>
          </reference>
        </references>
      </pivotArea>
    </chartFormat>
    <chartFormat chart="7" format="128">
      <pivotArea type="data" outline="0" fieldPosition="0">
        <references count="2">
          <reference field="4294967294" count="1" selected="0">
            <x v="0"/>
          </reference>
          <reference field="10" count="1" selected="0">
            <x v="6"/>
          </reference>
        </references>
      </pivotArea>
    </chartFormat>
    <chartFormat chart="7" format="129">
      <pivotArea type="data" outline="0" fieldPosition="0">
        <references count="2">
          <reference field="4294967294" count="1" selected="0">
            <x v="0"/>
          </reference>
          <reference field="10" count="1" selected="0">
            <x v="7"/>
          </reference>
        </references>
      </pivotArea>
    </chartFormat>
    <chartFormat chart="7" format="130">
      <pivotArea type="data" outline="0" fieldPosition="0">
        <references count="2">
          <reference field="4294967294" count="1" selected="0">
            <x v="0"/>
          </reference>
          <reference field="10" count="1" selected="0">
            <x v="8"/>
          </reference>
        </references>
      </pivotArea>
    </chartFormat>
    <chartFormat chart="7" format="131">
      <pivotArea type="data" outline="0" fieldPosition="0">
        <references count="2">
          <reference field="4294967294" count="1" selected="0">
            <x v="0"/>
          </reference>
          <reference field="10"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4F1F07-5267-4FE3-9427-C6541BF20D81}"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8" firstHeaderRow="1" firstDataRow="1" firstDataCol="1"/>
  <pivotFields count="26">
    <pivotField showAll="0"/>
    <pivotField axis="axisRow" numFmtId="22" showAll="0">
      <items count="111">
        <item x="61"/>
        <item x="42"/>
        <item x="62"/>
        <item x="41"/>
        <item x="28"/>
        <item x="59"/>
        <item x="71"/>
        <item x="89"/>
        <item x="51"/>
        <item x="53"/>
        <item x="72"/>
        <item x="48"/>
        <item x="30"/>
        <item x="79"/>
        <item x="63"/>
        <item x="29"/>
        <item x="70"/>
        <item x="91"/>
        <item x="85"/>
        <item x="67"/>
        <item x="104"/>
        <item x="98"/>
        <item x="99"/>
        <item x="40"/>
        <item x="23"/>
        <item x="17"/>
        <item x="11"/>
        <item x="9"/>
        <item x="21"/>
        <item x="12"/>
        <item x="26"/>
        <item x="37"/>
        <item x="5"/>
        <item x="8"/>
        <item x="13"/>
        <item x="78"/>
        <item x="55"/>
        <item x="87"/>
        <item x="80"/>
        <item x="77"/>
        <item x="68"/>
        <item x="105"/>
        <item x="69"/>
        <item x="66"/>
        <item x="34"/>
        <item x="39"/>
        <item x="25"/>
        <item x="24"/>
        <item x="7"/>
        <item x="4"/>
        <item x="18"/>
        <item x="97"/>
        <item x="96"/>
        <item x="95"/>
        <item x="109"/>
        <item x="88"/>
        <item x="44"/>
        <item x="83"/>
        <item x="46"/>
        <item x="45"/>
        <item x="54"/>
        <item x="49"/>
        <item x="73"/>
        <item x="102"/>
        <item x="76"/>
        <item x="75"/>
        <item x="50"/>
        <item x="65"/>
        <item x="84"/>
        <item x="58"/>
        <item x="86"/>
        <item x="64"/>
        <item x="103"/>
        <item x="27"/>
        <item x="90"/>
        <item x="32"/>
        <item x="60"/>
        <item x="92"/>
        <item x="38"/>
        <item x="107"/>
        <item x="35"/>
        <item x="20"/>
        <item x="15"/>
        <item x="14"/>
        <item x="1"/>
        <item x="6"/>
        <item x="3"/>
        <item x="22"/>
        <item x="19"/>
        <item x="47"/>
        <item x="52"/>
        <item x="56"/>
        <item x="74"/>
        <item x="57"/>
        <item x="82"/>
        <item x="100"/>
        <item x="33"/>
        <item x="31"/>
        <item x="94"/>
        <item x="93"/>
        <item x="108"/>
        <item x="106"/>
        <item x="101"/>
        <item x="36"/>
        <item x="10"/>
        <item x="0"/>
        <item x="2"/>
        <item x="16"/>
        <item x="43"/>
        <item x="8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1">
        <item x="76"/>
        <item x="35"/>
        <item x="77"/>
        <item x="73"/>
        <item x="2"/>
        <item x="33"/>
        <item x="32"/>
        <item x="27"/>
        <item x="64"/>
        <item x="50"/>
        <item x="67"/>
        <item x="16"/>
        <item x="41"/>
        <item x="75"/>
        <item x="22"/>
        <item x="59"/>
        <item x="97"/>
        <item x="52"/>
        <item x="90"/>
        <item x="38"/>
        <item x="80"/>
        <item x="8"/>
        <item x="61"/>
        <item x="102"/>
        <item x="20"/>
        <item x="23"/>
        <item x="11"/>
        <item x="53"/>
        <item x="83"/>
        <item x="78"/>
        <item x="5"/>
        <item x="44"/>
        <item x="106"/>
        <item x="96"/>
        <item x="31"/>
        <item x="15"/>
        <item x="39"/>
        <item x="99"/>
        <item x="47"/>
        <item x="105"/>
        <item x="0"/>
        <item x="82"/>
        <item x="43"/>
        <item x="9"/>
        <item x="1"/>
        <item x="18"/>
        <item x="104"/>
        <item x="84"/>
        <item x="101"/>
        <item x="55"/>
        <item x="45"/>
        <item x="46"/>
        <item x="91"/>
        <item x="93"/>
        <item x="63"/>
        <item x="107"/>
        <item x="29"/>
        <item x="60"/>
        <item x="42"/>
        <item x="26"/>
        <item x="36"/>
        <item x="85"/>
        <item x="79"/>
        <item x="100"/>
        <item x="95"/>
        <item x="66"/>
        <item x="7"/>
        <item x="4"/>
        <item x="34"/>
        <item x="30"/>
        <item x="57"/>
        <item x="69"/>
        <item x="98"/>
        <item x="25"/>
        <item x="70"/>
        <item x="58"/>
        <item x="40"/>
        <item x="74"/>
        <item x="24"/>
        <item x="14"/>
        <item x="51"/>
        <item x="89"/>
        <item x="88"/>
        <item x="65"/>
        <item x="56"/>
        <item x="13"/>
        <item x="12"/>
        <item x="87"/>
        <item x="103"/>
        <item x="86"/>
        <item x="68"/>
        <item x="37"/>
        <item x="71"/>
        <item x="62"/>
        <item x="3"/>
        <item x="10"/>
        <item x="81"/>
        <item x="49"/>
        <item x="54"/>
        <item x="72"/>
        <item x="28"/>
        <item x="6"/>
        <item x="48"/>
        <item x="92"/>
        <item x="19"/>
        <item x="108"/>
        <item x="109"/>
        <item x="17"/>
        <item x="21"/>
        <item x="94"/>
        <item t="default"/>
      </items>
    </pivotField>
    <pivotField showAll="0"/>
    <pivotField showAll="0"/>
    <pivotField showAll="0">
      <items count="6">
        <item x="2"/>
        <item x="4"/>
        <item x="1"/>
        <item x="0"/>
        <item x="3"/>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h="1" x="0"/>
        <item h="1" x="1"/>
        <item h="1" x="2"/>
        <item h="1" x="3"/>
        <item x="4"/>
        <item h="1" x="5"/>
        <item t="default"/>
      </items>
    </pivotField>
    <pivotField showAll="0">
      <items count="8">
        <item x="0"/>
        <item x="1"/>
        <item x="2"/>
        <item x="3"/>
        <item x="4"/>
        <item x="5"/>
        <item x="6"/>
        <item t="default"/>
      </items>
    </pivotField>
  </pivotFields>
  <rowFields count="1">
    <field x="1"/>
  </rowFields>
  <rowItems count="15">
    <i>
      <x v="21"/>
    </i>
    <i>
      <x v="22"/>
    </i>
    <i>
      <x v="23"/>
    </i>
    <i>
      <x v="44"/>
    </i>
    <i>
      <x v="45"/>
    </i>
    <i>
      <x v="76"/>
    </i>
    <i>
      <x v="77"/>
    </i>
    <i>
      <x v="78"/>
    </i>
    <i>
      <x v="79"/>
    </i>
    <i>
      <x v="80"/>
    </i>
    <i>
      <x v="98"/>
    </i>
    <i>
      <x v="99"/>
    </i>
    <i>
      <x v="100"/>
    </i>
    <i>
      <x v="101"/>
    </i>
    <i t="grand">
      <x/>
    </i>
  </rowItems>
  <colItems count="1">
    <i/>
  </colItems>
  <dataFields count="1">
    <dataField name="Sum of gross profit" fld="19"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C29CEC-A75E-445D-9400-C2C65A6B0E1A}" name="PivotTable4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gross profit" fld="0" baseField="1" baseItem="0" numFmtId="164"/>
  </dataFields>
  <chartFormats count="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data.xlsx!sheet9">
        <x15:activeTabTopLevelEntity name="[sheet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F60525-9FA9-4928-A5BC-35CD0F2E45C7}"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A4" firstHeaderRow="1" firstDataRow="1" firstDataCol="0"/>
  <pivotFields count="26">
    <pivotField showAll="0"/>
    <pivotField numFmtId="22" showAll="0">
      <items count="111">
        <item x="61"/>
        <item x="42"/>
        <item x="62"/>
        <item x="41"/>
        <item x="28"/>
        <item x="59"/>
        <item x="71"/>
        <item x="89"/>
        <item x="51"/>
        <item x="53"/>
        <item x="72"/>
        <item x="48"/>
        <item x="30"/>
        <item x="79"/>
        <item x="63"/>
        <item x="29"/>
        <item x="70"/>
        <item x="91"/>
        <item x="85"/>
        <item x="67"/>
        <item x="104"/>
        <item x="98"/>
        <item x="99"/>
        <item x="40"/>
        <item x="23"/>
        <item x="17"/>
        <item x="11"/>
        <item x="9"/>
        <item x="21"/>
        <item x="12"/>
        <item x="26"/>
        <item x="37"/>
        <item x="5"/>
        <item x="8"/>
        <item x="13"/>
        <item x="78"/>
        <item x="55"/>
        <item x="87"/>
        <item x="80"/>
        <item x="77"/>
        <item x="68"/>
        <item x="105"/>
        <item x="69"/>
        <item x="66"/>
        <item x="34"/>
        <item x="39"/>
        <item x="25"/>
        <item x="24"/>
        <item x="7"/>
        <item x="4"/>
        <item x="18"/>
        <item x="97"/>
        <item x="96"/>
        <item x="95"/>
        <item x="109"/>
        <item x="88"/>
        <item x="44"/>
        <item x="83"/>
        <item x="46"/>
        <item x="45"/>
        <item x="54"/>
        <item x="49"/>
        <item x="73"/>
        <item x="102"/>
        <item x="76"/>
        <item x="75"/>
        <item x="50"/>
        <item x="65"/>
        <item x="84"/>
        <item x="58"/>
        <item x="86"/>
        <item x="64"/>
        <item x="103"/>
        <item x="27"/>
        <item x="90"/>
        <item x="32"/>
        <item x="60"/>
        <item x="92"/>
        <item x="38"/>
        <item x="107"/>
        <item x="35"/>
        <item x="20"/>
        <item x="15"/>
        <item x="14"/>
        <item x="1"/>
        <item x="6"/>
        <item x="3"/>
        <item x="22"/>
        <item x="19"/>
        <item x="47"/>
        <item x="52"/>
        <item x="56"/>
        <item x="74"/>
        <item x="57"/>
        <item x="82"/>
        <item x="100"/>
        <item x="33"/>
        <item x="31"/>
        <item x="94"/>
        <item x="93"/>
        <item x="108"/>
        <item x="106"/>
        <item x="101"/>
        <item x="36"/>
        <item x="10"/>
        <item x="0"/>
        <item x="2"/>
        <item x="16"/>
        <item x="43"/>
        <item x="8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1">
        <item x="76"/>
        <item x="35"/>
        <item x="77"/>
        <item x="73"/>
        <item x="2"/>
        <item x="33"/>
        <item x="32"/>
        <item x="27"/>
        <item x="64"/>
        <item x="50"/>
        <item x="67"/>
        <item x="16"/>
        <item x="41"/>
        <item x="75"/>
        <item x="22"/>
        <item x="59"/>
        <item x="97"/>
        <item x="52"/>
        <item x="90"/>
        <item x="38"/>
        <item x="80"/>
        <item x="8"/>
        <item x="61"/>
        <item x="102"/>
        <item x="20"/>
        <item x="23"/>
        <item x="11"/>
        <item x="53"/>
        <item x="83"/>
        <item x="78"/>
        <item x="5"/>
        <item x="44"/>
        <item x="106"/>
        <item x="96"/>
        <item x="31"/>
        <item x="15"/>
        <item x="39"/>
        <item x="99"/>
        <item x="47"/>
        <item x="105"/>
        <item x="0"/>
        <item x="82"/>
        <item x="43"/>
        <item x="9"/>
        <item x="1"/>
        <item x="18"/>
        <item x="104"/>
        <item x="84"/>
        <item x="101"/>
        <item x="55"/>
        <item x="45"/>
        <item x="46"/>
        <item x="91"/>
        <item x="93"/>
        <item x="63"/>
        <item x="107"/>
        <item x="29"/>
        <item x="60"/>
        <item x="42"/>
        <item x="26"/>
        <item x="36"/>
        <item x="85"/>
        <item x="79"/>
        <item x="100"/>
        <item x="95"/>
        <item x="66"/>
        <item x="7"/>
        <item x="4"/>
        <item x="34"/>
        <item x="30"/>
        <item x="57"/>
        <item x="69"/>
        <item x="98"/>
        <item x="25"/>
        <item x="70"/>
        <item x="58"/>
        <item x="40"/>
        <item x="74"/>
        <item x="24"/>
        <item x="14"/>
        <item x="51"/>
        <item x="89"/>
        <item x="88"/>
        <item x="65"/>
        <item x="56"/>
        <item x="13"/>
        <item x="12"/>
        <item x="87"/>
        <item x="103"/>
        <item x="86"/>
        <item x="68"/>
        <item x="37"/>
        <item x="71"/>
        <item x="62"/>
        <item x="3"/>
        <item x="10"/>
        <item x="81"/>
        <item x="49"/>
        <item x="54"/>
        <item x="72"/>
        <item x="28"/>
        <item x="6"/>
        <item x="48"/>
        <item x="92"/>
        <item x="19"/>
        <item x="108"/>
        <item x="109"/>
        <item x="17"/>
        <item x="21"/>
        <item x="94"/>
        <item t="default"/>
      </items>
    </pivotField>
    <pivotField showAll="0"/>
    <pivotField showAll="0">
      <items count="6">
        <item x="2"/>
        <item x="4"/>
        <item x="1"/>
        <item x="0"/>
        <item x="3"/>
        <item t="default"/>
      </items>
    </pivotField>
    <pivotField showAll="0">
      <items count="6">
        <item x="2"/>
        <item x="4"/>
        <item x="1"/>
        <item x="0"/>
        <item x="3"/>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h="1" x="0"/>
        <item h="1" x="1"/>
        <item h="1" x="2"/>
        <item h="1" x="3"/>
        <item x="4"/>
        <item h="1" x="5"/>
        <item t="default"/>
      </items>
    </pivotField>
    <pivotField showAll="0">
      <items count="8">
        <item x="0"/>
        <item x="1"/>
        <item x="2"/>
        <item x="3"/>
        <item x="4"/>
        <item x="5"/>
        <item x="6"/>
        <item t="default"/>
      </items>
    </pivotField>
  </pivotFields>
  <rowItems count="1">
    <i/>
  </rowItems>
  <colItems count="1">
    <i/>
  </colItems>
  <dataFields count="1">
    <dataField name="Sum of profit margin" fld="22"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F54E4F-C6D5-4354-8181-3FF2783BC252}"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6">
    <pivotField dataField="1" showAll="0"/>
    <pivotField numFmtId="22" showAll="0">
      <items count="111">
        <item x="61"/>
        <item x="42"/>
        <item x="62"/>
        <item x="41"/>
        <item x="28"/>
        <item x="59"/>
        <item x="71"/>
        <item x="89"/>
        <item x="51"/>
        <item x="53"/>
        <item x="72"/>
        <item x="48"/>
        <item x="30"/>
        <item x="79"/>
        <item x="63"/>
        <item x="29"/>
        <item x="70"/>
        <item x="91"/>
        <item x="85"/>
        <item x="67"/>
        <item x="104"/>
        <item x="98"/>
        <item x="99"/>
        <item x="40"/>
        <item x="23"/>
        <item x="17"/>
        <item x="11"/>
        <item x="9"/>
        <item x="21"/>
        <item x="12"/>
        <item x="26"/>
        <item x="37"/>
        <item x="5"/>
        <item x="8"/>
        <item x="13"/>
        <item x="78"/>
        <item x="55"/>
        <item x="87"/>
        <item x="80"/>
        <item x="77"/>
        <item x="68"/>
        <item x="105"/>
        <item x="69"/>
        <item x="66"/>
        <item x="34"/>
        <item x="39"/>
        <item x="25"/>
        <item x="24"/>
        <item x="7"/>
        <item x="4"/>
        <item x="18"/>
        <item x="97"/>
        <item x="96"/>
        <item x="95"/>
        <item x="109"/>
        <item x="88"/>
        <item x="44"/>
        <item x="83"/>
        <item x="46"/>
        <item x="45"/>
        <item x="54"/>
        <item x="49"/>
        <item x="73"/>
        <item x="102"/>
        <item x="76"/>
        <item x="75"/>
        <item x="50"/>
        <item x="65"/>
        <item x="84"/>
        <item x="58"/>
        <item x="86"/>
        <item x="64"/>
        <item x="103"/>
        <item x="27"/>
        <item x="90"/>
        <item x="32"/>
        <item x="60"/>
        <item x="92"/>
        <item x="38"/>
        <item x="107"/>
        <item x="35"/>
        <item x="20"/>
        <item x="15"/>
        <item x="14"/>
        <item x="1"/>
        <item x="6"/>
        <item x="3"/>
        <item x="22"/>
        <item x="19"/>
        <item x="47"/>
        <item x="52"/>
        <item x="56"/>
        <item x="74"/>
        <item x="57"/>
        <item x="82"/>
        <item x="100"/>
        <item x="33"/>
        <item x="31"/>
        <item x="94"/>
        <item x="93"/>
        <item x="108"/>
        <item x="106"/>
        <item x="101"/>
        <item x="36"/>
        <item x="10"/>
        <item x="0"/>
        <item x="2"/>
        <item x="16"/>
        <item x="43"/>
        <item x="8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1">
        <item x="76"/>
        <item x="35"/>
        <item x="77"/>
        <item x="73"/>
        <item x="2"/>
        <item x="33"/>
        <item x="32"/>
        <item x="27"/>
        <item x="64"/>
        <item x="50"/>
        <item x="67"/>
        <item x="16"/>
        <item x="41"/>
        <item x="75"/>
        <item x="22"/>
        <item x="59"/>
        <item x="97"/>
        <item x="52"/>
        <item x="90"/>
        <item x="38"/>
        <item x="80"/>
        <item x="8"/>
        <item x="61"/>
        <item x="102"/>
        <item x="20"/>
        <item x="23"/>
        <item x="11"/>
        <item x="53"/>
        <item x="83"/>
        <item x="78"/>
        <item x="5"/>
        <item x="44"/>
        <item x="106"/>
        <item x="96"/>
        <item x="31"/>
        <item x="15"/>
        <item x="39"/>
        <item x="99"/>
        <item x="47"/>
        <item x="105"/>
        <item x="0"/>
        <item x="82"/>
        <item x="43"/>
        <item x="9"/>
        <item x="1"/>
        <item x="18"/>
        <item x="104"/>
        <item x="84"/>
        <item x="101"/>
        <item x="55"/>
        <item x="45"/>
        <item x="46"/>
        <item x="91"/>
        <item x="93"/>
        <item x="63"/>
        <item x="107"/>
        <item x="29"/>
        <item x="60"/>
        <item x="42"/>
        <item x="26"/>
        <item x="36"/>
        <item x="85"/>
        <item x="79"/>
        <item x="100"/>
        <item x="95"/>
        <item x="66"/>
        <item x="7"/>
        <item x="4"/>
        <item x="34"/>
        <item x="30"/>
        <item x="57"/>
        <item x="69"/>
        <item x="98"/>
        <item x="25"/>
        <item x="70"/>
        <item x="58"/>
        <item x="40"/>
        <item x="74"/>
        <item x="24"/>
        <item x="14"/>
        <item x="51"/>
        <item x="89"/>
        <item x="88"/>
        <item x="65"/>
        <item x="56"/>
        <item x="13"/>
        <item x="12"/>
        <item x="87"/>
        <item x="103"/>
        <item x="86"/>
        <item x="68"/>
        <item x="37"/>
        <item x="71"/>
        <item x="62"/>
        <item x="3"/>
        <item x="10"/>
        <item x="81"/>
        <item x="49"/>
        <item x="54"/>
        <item x="72"/>
        <item x="28"/>
        <item x="6"/>
        <item x="48"/>
        <item x="92"/>
        <item x="19"/>
        <item x="108"/>
        <item x="109"/>
        <item x="17"/>
        <item x="21"/>
        <item x="94"/>
        <item t="default"/>
      </items>
    </pivotField>
    <pivotField showAll="0"/>
    <pivotField axis="axisRow" showAll="0">
      <items count="6">
        <item x="2"/>
        <item x="4"/>
        <item x="1"/>
        <item x="0"/>
        <item x="3"/>
        <item t="default"/>
      </items>
    </pivotField>
    <pivotField showAll="0">
      <items count="6">
        <item x="2"/>
        <item x="4"/>
        <item x="1"/>
        <item x="0"/>
        <item x="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h="1" x="0"/>
        <item h="1" x="1"/>
        <item h="1" x="2"/>
        <item h="1" x="3"/>
        <item x="4"/>
        <item h="1" x="5"/>
        <item t="default"/>
      </items>
    </pivotField>
    <pivotField showAll="0">
      <items count="8">
        <item x="0"/>
        <item x="1"/>
        <item x="2"/>
        <item x="3"/>
        <item x="4"/>
        <item x="5"/>
        <item x="6"/>
        <item t="default"/>
      </items>
    </pivotField>
  </pivotFields>
  <rowFields count="1">
    <field x="15"/>
  </rowFields>
  <rowItems count="6">
    <i>
      <x/>
    </i>
    <i>
      <x v="1"/>
    </i>
    <i>
      <x v="2"/>
    </i>
    <i>
      <x v="3"/>
    </i>
    <i>
      <x v="4"/>
    </i>
    <i t="grand">
      <x/>
    </i>
  </rowItems>
  <colItems count="1">
    <i/>
  </colItems>
  <dataFields count="1">
    <dataField name="Count of Order Number" fld="0" subtotal="count" baseField="15" baseItem="0"/>
  </dataField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5" count="1" selected="0">
            <x v="0"/>
          </reference>
        </references>
      </pivotArea>
    </chartFormat>
    <chartFormat chart="4" format="9">
      <pivotArea type="data" outline="0" fieldPosition="0">
        <references count="2">
          <reference field="4294967294" count="1" selected="0">
            <x v="0"/>
          </reference>
          <reference field="15" count="1" selected="0">
            <x v="1"/>
          </reference>
        </references>
      </pivotArea>
    </chartFormat>
    <chartFormat chart="4" format="10">
      <pivotArea type="data" outline="0" fieldPosition="0">
        <references count="2">
          <reference field="4294967294" count="1" selected="0">
            <x v="0"/>
          </reference>
          <reference field="15" count="1" selected="0">
            <x v="2"/>
          </reference>
        </references>
      </pivotArea>
    </chartFormat>
    <chartFormat chart="4" format="11">
      <pivotArea type="data" outline="0" fieldPosition="0">
        <references count="2">
          <reference field="4294967294" count="1" selected="0">
            <x v="0"/>
          </reference>
          <reference field="15" count="1" selected="0">
            <x v="3"/>
          </reference>
        </references>
      </pivotArea>
    </chartFormat>
    <chartFormat chart="4" format="12">
      <pivotArea type="data" outline="0" fieldPosition="0">
        <references count="2">
          <reference field="4294967294" count="1" selected="0">
            <x v="0"/>
          </reference>
          <reference field="15" count="1" selected="0">
            <x v="4"/>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0" format="5">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FD62522-633E-45DF-BC8C-75B7C004366E}" name="PivotTable1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5" firstHeaderRow="1" firstDataRow="1" firstDataCol="1"/>
  <pivotFields count="26">
    <pivotField showAll="0"/>
    <pivotField numFmtId="22" showAll="0">
      <items count="111">
        <item x="61"/>
        <item x="42"/>
        <item x="62"/>
        <item x="41"/>
        <item x="28"/>
        <item x="59"/>
        <item x="71"/>
        <item x="89"/>
        <item x="51"/>
        <item x="53"/>
        <item x="72"/>
        <item x="48"/>
        <item x="30"/>
        <item x="79"/>
        <item x="63"/>
        <item x="29"/>
        <item x="70"/>
        <item x="91"/>
        <item x="85"/>
        <item x="67"/>
        <item x="104"/>
        <item x="98"/>
        <item x="99"/>
        <item x="40"/>
        <item x="23"/>
        <item x="17"/>
        <item x="11"/>
        <item x="9"/>
        <item x="21"/>
        <item x="12"/>
        <item x="26"/>
        <item x="37"/>
        <item x="5"/>
        <item x="8"/>
        <item x="13"/>
        <item x="78"/>
        <item x="55"/>
        <item x="87"/>
        <item x="80"/>
        <item x="77"/>
        <item x="68"/>
        <item x="105"/>
        <item x="69"/>
        <item x="66"/>
        <item x="34"/>
        <item x="39"/>
        <item x="25"/>
        <item x="24"/>
        <item x="7"/>
        <item x="4"/>
        <item x="18"/>
        <item x="97"/>
        <item x="96"/>
        <item x="95"/>
        <item x="109"/>
        <item x="88"/>
        <item x="44"/>
        <item x="83"/>
        <item x="46"/>
        <item x="45"/>
        <item x="54"/>
        <item x="49"/>
        <item x="73"/>
        <item x="102"/>
        <item x="76"/>
        <item x="75"/>
        <item x="50"/>
        <item x="65"/>
        <item x="84"/>
        <item x="58"/>
        <item x="86"/>
        <item x="64"/>
        <item x="103"/>
        <item x="27"/>
        <item x="90"/>
        <item x="32"/>
        <item x="60"/>
        <item x="92"/>
        <item x="38"/>
        <item x="107"/>
        <item x="35"/>
        <item x="20"/>
        <item x="15"/>
        <item x="14"/>
        <item x="1"/>
        <item x="6"/>
        <item x="3"/>
        <item x="22"/>
        <item x="19"/>
        <item x="47"/>
        <item x="52"/>
        <item x="56"/>
        <item x="74"/>
        <item x="57"/>
        <item x="82"/>
        <item x="100"/>
        <item x="33"/>
        <item x="31"/>
        <item x="94"/>
        <item x="93"/>
        <item x="108"/>
        <item x="106"/>
        <item x="101"/>
        <item x="36"/>
        <item x="10"/>
        <item x="0"/>
        <item x="2"/>
        <item x="16"/>
        <item x="43"/>
        <item x="81"/>
        <item t="default"/>
      </items>
    </pivotField>
    <pivotField showAll="0"/>
    <pivotField showAll="0"/>
    <pivotField showAll="0"/>
    <pivotField showAll="0"/>
    <pivotField showAll="0"/>
    <pivotField showAll="0"/>
    <pivotField showAll="0"/>
    <pivotField showAll="0"/>
    <pivotField axis="axisRow" showAll="0">
      <items count="111">
        <item x="38"/>
        <item x="51"/>
        <item x="20"/>
        <item x="12"/>
        <item x="65"/>
        <item x="81"/>
        <item x="56"/>
        <item x="53"/>
        <item x="13"/>
        <item x="55"/>
        <item h="1" x="15"/>
        <item h="1" x="18"/>
        <item h="1" x="17"/>
        <item h="1" x="52"/>
        <item h="1" x="9"/>
        <item h="1" x="16"/>
        <item h="1" x="59"/>
        <item h="1" x="19"/>
        <item h="1" x="14"/>
        <item h="1" x="46"/>
        <item h="1" x="6"/>
        <item h="1" x="60"/>
        <item h="1" x="0"/>
        <item h="1" x="31"/>
        <item h="1" x="48"/>
        <item h="1" x="49"/>
        <item h="1" x="58"/>
        <item h="1" x="68"/>
        <item h="1" x="64"/>
        <item h="1" x="32"/>
        <item h="1" x="45"/>
        <item h="1" x="61"/>
        <item h="1" x="72"/>
        <item h="1" x="23"/>
        <item h="1" x="62"/>
        <item h="1" x="37"/>
        <item h="1" x="30"/>
        <item h="1" x="50"/>
        <item h="1" x="5"/>
        <item h="1" x="96"/>
        <item h="1" x="79"/>
        <item h="1" x="66"/>
        <item h="1" x="77"/>
        <item h="1" x="91"/>
        <item h="1" x="41"/>
        <item h="1" x="29"/>
        <item h="1" x="95"/>
        <item h="1" x="92"/>
        <item h="1" x="67"/>
        <item h="1" x="21"/>
        <item h="1" x="80"/>
        <item h="1" x="69"/>
        <item h="1" x="57"/>
        <item h="1" x="104"/>
        <item h="1" x="85"/>
        <item h="1" x="39"/>
        <item h="1" x="4"/>
        <item h="1" x="35"/>
        <item h="1" x="102"/>
        <item h="1" x="83"/>
        <item h="1" x="22"/>
        <item h="1" x="98"/>
        <item h="1" x="107"/>
        <item h="1" x="87"/>
        <item h="1" x="36"/>
        <item h="1" x="43"/>
        <item h="1" x="109"/>
        <item h="1" x="28"/>
        <item h="1" x="54"/>
        <item h="1" x="103"/>
        <item h="1" x="7"/>
        <item h="1" x="86"/>
        <item h="1" x="42"/>
        <item h="1" x="70"/>
        <item h="1" x="90"/>
        <item h="1" x="40"/>
        <item h="1" x="44"/>
        <item h="1" x="93"/>
        <item h="1" x="88"/>
        <item h="1" x="1"/>
        <item h="1" x="27"/>
        <item h="1" x="105"/>
        <item h="1" x="78"/>
        <item h="1" x="82"/>
        <item h="1" x="10"/>
        <item h="1" x="73"/>
        <item h="1" x="84"/>
        <item h="1" x="8"/>
        <item h="1" x="33"/>
        <item h="1" x="89"/>
        <item h="1" x="101"/>
        <item h="1" x="63"/>
        <item h="1" x="99"/>
        <item h="1" x="108"/>
        <item h="1" x="26"/>
        <item h="1" x="11"/>
        <item h="1" x="71"/>
        <item h="1" x="106"/>
        <item h="1" x="97"/>
        <item h="1" x="24"/>
        <item h="1" x="2"/>
        <item h="1" x="94"/>
        <item h="1" x="25"/>
        <item h="1" x="76"/>
        <item h="1" x="75"/>
        <item h="1" x="34"/>
        <item h="1" x="100"/>
        <item h="1" x="3"/>
        <item h="1" x="74"/>
        <item h="1" x="47"/>
        <item t="default"/>
      </items>
    </pivotField>
    <pivotField showAll="0"/>
    <pivotField dataField="1" showAll="0"/>
    <pivotField showAll="0">
      <items count="111">
        <item x="76"/>
        <item x="35"/>
        <item x="77"/>
        <item x="73"/>
        <item x="2"/>
        <item x="33"/>
        <item x="32"/>
        <item x="27"/>
        <item x="64"/>
        <item x="50"/>
        <item x="67"/>
        <item x="16"/>
        <item x="41"/>
        <item x="75"/>
        <item x="22"/>
        <item x="59"/>
        <item x="97"/>
        <item x="52"/>
        <item x="90"/>
        <item x="38"/>
        <item x="80"/>
        <item x="8"/>
        <item x="61"/>
        <item x="102"/>
        <item x="20"/>
        <item x="23"/>
        <item x="11"/>
        <item x="53"/>
        <item x="83"/>
        <item x="78"/>
        <item x="5"/>
        <item x="44"/>
        <item x="106"/>
        <item x="96"/>
        <item x="31"/>
        <item x="15"/>
        <item x="39"/>
        <item x="99"/>
        <item x="47"/>
        <item x="105"/>
        <item x="0"/>
        <item x="82"/>
        <item x="43"/>
        <item x="9"/>
        <item x="1"/>
        <item x="18"/>
        <item x="104"/>
        <item x="84"/>
        <item x="101"/>
        <item x="55"/>
        <item x="45"/>
        <item x="46"/>
        <item x="91"/>
        <item x="93"/>
        <item x="63"/>
        <item x="107"/>
        <item x="29"/>
        <item x="60"/>
        <item x="42"/>
        <item x="26"/>
        <item x="36"/>
        <item x="85"/>
        <item x="79"/>
        <item x="100"/>
        <item x="95"/>
        <item x="66"/>
        <item x="7"/>
        <item x="4"/>
        <item x="34"/>
        <item x="30"/>
        <item x="57"/>
        <item x="69"/>
        <item x="98"/>
        <item x="25"/>
        <item x="70"/>
        <item x="58"/>
        <item x="40"/>
        <item x="74"/>
        <item x="24"/>
        <item x="14"/>
        <item x="51"/>
        <item x="89"/>
        <item x="88"/>
        <item x="65"/>
        <item x="56"/>
        <item x="13"/>
        <item x="12"/>
        <item x="87"/>
        <item x="103"/>
        <item x="86"/>
        <item x="68"/>
        <item x="37"/>
        <item x="71"/>
        <item x="62"/>
        <item x="3"/>
        <item x="10"/>
        <item x="81"/>
        <item x="49"/>
        <item x="54"/>
        <item x="72"/>
        <item x="28"/>
        <item x="6"/>
        <item x="48"/>
        <item x="92"/>
        <item x="19"/>
        <item x="108"/>
        <item x="109"/>
        <item x="17"/>
        <item x="21"/>
        <item x="94"/>
        <item t="default"/>
      </items>
    </pivotField>
    <pivotField showAll="0"/>
    <pivotField showAll="0"/>
    <pivotField showAll="0">
      <items count="6">
        <item x="2"/>
        <item x="4"/>
        <item x="1"/>
        <item x="0"/>
        <item x="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h="1" x="0"/>
        <item h="1" x="1"/>
        <item h="1" x="2"/>
        <item h="1" x="3"/>
        <item x="4"/>
        <item h="1" x="5"/>
        <item t="default"/>
      </items>
    </pivotField>
    <pivotField showAll="0">
      <items count="8">
        <item x="0"/>
        <item x="1"/>
        <item x="2"/>
        <item x="3"/>
        <item x="4"/>
        <item x="5"/>
        <item x="6"/>
        <item t="default"/>
      </items>
    </pivotField>
  </pivotFields>
  <rowFields count="1">
    <field x="10"/>
  </rowFields>
  <rowItems count="2">
    <i>
      <x/>
    </i>
    <i t="grand">
      <x/>
    </i>
  </rowItems>
  <colItems count="1">
    <i/>
  </colItems>
  <dataFields count="1">
    <dataField name="Sum of sheet6.Quantity on Hand" fld="12" baseField="0" baseItem="0"/>
  </dataFields>
  <chartFormats count="2">
    <chartFormat chart="4"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475A678-10F1-4E1C-B671-ED2A67DDC377}" name="PivotTable4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19" firstHeaderRow="1" firstDataRow="2" firstDataCol="1"/>
  <pivotFields count="26">
    <pivotField showAll="0"/>
    <pivotField numFmtId="22" showAll="0">
      <items count="111">
        <item x="61"/>
        <item x="42"/>
        <item x="62"/>
        <item x="41"/>
        <item x="28"/>
        <item x="59"/>
        <item x="71"/>
        <item x="89"/>
        <item x="51"/>
        <item x="53"/>
        <item x="72"/>
        <item x="48"/>
        <item x="30"/>
        <item x="79"/>
        <item x="63"/>
        <item x="29"/>
        <item x="70"/>
        <item x="91"/>
        <item x="85"/>
        <item x="67"/>
        <item x="104"/>
        <item x="98"/>
        <item x="99"/>
        <item x="40"/>
        <item x="23"/>
        <item x="17"/>
        <item x="11"/>
        <item x="9"/>
        <item x="21"/>
        <item x="12"/>
        <item x="26"/>
        <item x="37"/>
        <item x="5"/>
        <item x="8"/>
        <item x="13"/>
        <item x="78"/>
        <item x="55"/>
        <item x="87"/>
        <item x="80"/>
        <item x="77"/>
        <item x="68"/>
        <item x="105"/>
        <item x="69"/>
        <item x="66"/>
        <item x="34"/>
        <item x="39"/>
        <item x="25"/>
        <item x="24"/>
        <item x="7"/>
        <item x="4"/>
        <item x="18"/>
        <item x="97"/>
        <item x="96"/>
        <item x="95"/>
        <item x="109"/>
        <item x="88"/>
        <item x="44"/>
        <item x="83"/>
        <item x="46"/>
        <item x="45"/>
        <item x="54"/>
        <item x="49"/>
        <item x="73"/>
        <item x="102"/>
        <item x="76"/>
        <item x="75"/>
        <item x="50"/>
        <item x="65"/>
        <item x="84"/>
        <item x="58"/>
        <item x="86"/>
        <item x="64"/>
        <item x="103"/>
        <item x="27"/>
        <item x="90"/>
        <item x="32"/>
        <item x="60"/>
        <item x="92"/>
        <item x="38"/>
        <item x="107"/>
        <item x="35"/>
        <item x="20"/>
        <item x="15"/>
        <item x="14"/>
        <item x="1"/>
        <item x="6"/>
        <item x="3"/>
        <item x="22"/>
        <item x="19"/>
        <item x="47"/>
        <item x="52"/>
        <item x="56"/>
        <item x="74"/>
        <item x="57"/>
        <item x="82"/>
        <item x="100"/>
        <item x="33"/>
        <item x="31"/>
        <item x="94"/>
        <item x="93"/>
        <item x="108"/>
        <item x="106"/>
        <item x="101"/>
        <item x="36"/>
        <item x="10"/>
        <item x="0"/>
        <item x="2"/>
        <item x="16"/>
        <item x="43"/>
        <item x="81"/>
        <item t="default"/>
      </items>
    </pivotField>
    <pivotField dataField="1" showAll="0"/>
    <pivotField showAll="0"/>
    <pivotField showAll="0"/>
    <pivotField showAll="0"/>
    <pivotField showAll="0"/>
    <pivotField showAll="0"/>
    <pivotField showAll="0"/>
    <pivotField showAll="0"/>
    <pivotField axis="axisRow" showAll="0">
      <items count="111">
        <item x="38"/>
        <item x="51"/>
        <item x="20"/>
        <item x="12"/>
        <item x="65"/>
        <item x="81"/>
        <item x="56"/>
        <item x="53"/>
        <item x="13"/>
        <item x="55"/>
        <item x="15"/>
        <item x="18"/>
        <item x="17"/>
        <item x="52"/>
        <item x="9"/>
        <item x="16"/>
        <item x="59"/>
        <item x="19"/>
        <item x="14"/>
        <item x="46"/>
        <item x="6"/>
        <item x="60"/>
        <item x="0"/>
        <item x="31"/>
        <item x="48"/>
        <item x="49"/>
        <item x="58"/>
        <item x="68"/>
        <item x="64"/>
        <item x="32"/>
        <item x="45"/>
        <item x="61"/>
        <item x="72"/>
        <item x="23"/>
        <item x="62"/>
        <item x="37"/>
        <item x="30"/>
        <item x="50"/>
        <item x="5"/>
        <item x="96"/>
        <item x="79"/>
        <item x="66"/>
        <item x="77"/>
        <item x="91"/>
        <item x="41"/>
        <item x="29"/>
        <item x="95"/>
        <item x="92"/>
        <item x="67"/>
        <item x="21"/>
        <item x="80"/>
        <item x="69"/>
        <item x="57"/>
        <item x="104"/>
        <item x="85"/>
        <item x="39"/>
        <item x="4"/>
        <item x="35"/>
        <item x="102"/>
        <item x="83"/>
        <item x="22"/>
        <item x="98"/>
        <item x="107"/>
        <item x="87"/>
        <item x="36"/>
        <item x="43"/>
        <item x="109"/>
        <item x="28"/>
        <item x="54"/>
        <item x="103"/>
        <item x="7"/>
        <item x="86"/>
        <item x="42"/>
        <item x="70"/>
        <item x="90"/>
        <item x="40"/>
        <item x="44"/>
        <item x="93"/>
        <item x="88"/>
        <item x="1"/>
        <item x="27"/>
        <item x="105"/>
        <item x="78"/>
        <item x="82"/>
        <item x="10"/>
        <item x="73"/>
        <item x="84"/>
        <item x="8"/>
        <item x="33"/>
        <item x="89"/>
        <item x="101"/>
        <item x="63"/>
        <item x="99"/>
        <item x="108"/>
        <item x="26"/>
        <item x="11"/>
        <item x="71"/>
        <item x="106"/>
        <item x="97"/>
        <item x="24"/>
        <item x="2"/>
        <item x="94"/>
        <item x="25"/>
        <item x="76"/>
        <item x="75"/>
        <item x="34"/>
        <item x="100"/>
        <item x="3"/>
        <item x="74"/>
        <item x="47"/>
        <item t="default"/>
      </items>
    </pivotField>
    <pivotField showAll="0"/>
    <pivotField showAll="0"/>
    <pivotField showAll="0">
      <items count="111">
        <item x="76"/>
        <item x="35"/>
        <item x="77"/>
        <item x="73"/>
        <item x="2"/>
        <item x="33"/>
        <item x="32"/>
        <item x="27"/>
        <item x="64"/>
        <item x="50"/>
        <item x="67"/>
        <item x="16"/>
        <item x="41"/>
        <item x="75"/>
        <item x="22"/>
        <item x="59"/>
        <item x="97"/>
        <item x="52"/>
        <item x="90"/>
        <item x="38"/>
        <item x="80"/>
        <item x="8"/>
        <item x="61"/>
        <item x="102"/>
        <item x="20"/>
        <item x="23"/>
        <item x="11"/>
        <item x="53"/>
        <item x="83"/>
        <item x="78"/>
        <item x="5"/>
        <item x="44"/>
        <item x="106"/>
        <item x="96"/>
        <item x="31"/>
        <item x="15"/>
        <item x="39"/>
        <item x="99"/>
        <item x="47"/>
        <item x="105"/>
        <item x="0"/>
        <item x="82"/>
        <item x="43"/>
        <item x="9"/>
        <item x="1"/>
        <item x="18"/>
        <item x="104"/>
        <item x="84"/>
        <item x="101"/>
        <item x="55"/>
        <item x="45"/>
        <item x="46"/>
        <item x="91"/>
        <item x="93"/>
        <item x="63"/>
        <item x="107"/>
        <item x="29"/>
        <item x="60"/>
        <item x="42"/>
        <item x="26"/>
        <item x="36"/>
        <item x="85"/>
        <item x="79"/>
        <item x="100"/>
        <item x="95"/>
        <item x="66"/>
        <item x="7"/>
        <item x="4"/>
        <item x="34"/>
        <item x="30"/>
        <item x="57"/>
        <item x="69"/>
        <item x="98"/>
        <item x="25"/>
        <item x="70"/>
        <item x="58"/>
        <item x="40"/>
        <item x="74"/>
        <item x="24"/>
        <item x="14"/>
        <item x="51"/>
        <item x="89"/>
        <item x="88"/>
        <item x="65"/>
        <item x="56"/>
        <item x="13"/>
        <item x="12"/>
        <item x="87"/>
        <item x="103"/>
        <item x="86"/>
        <item x="68"/>
        <item x="37"/>
        <item x="71"/>
        <item x="62"/>
        <item x="3"/>
        <item x="10"/>
        <item x="81"/>
        <item x="49"/>
        <item x="54"/>
        <item x="72"/>
        <item x="28"/>
        <item x="6"/>
        <item x="48"/>
        <item x="92"/>
        <item x="19"/>
        <item x="108"/>
        <item x="109"/>
        <item x="17"/>
        <item x="21"/>
        <item x="94"/>
        <item t="default"/>
      </items>
    </pivotField>
    <pivotField showAll="0"/>
    <pivotField showAll="0"/>
    <pivotField showAll="0">
      <items count="6">
        <item x="2"/>
        <item x="4"/>
        <item x="1"/>
        <item x="0"/>
        <item x="3"/>
        <item t="default"/>
      </items>
    </pivotField>
    <pivotField showAll="0"/>
    <pivotField showAll="0"/>
    <pivotField showAll="0"/>
    <pivotField showAll="0"/>
    <pivotField axis="axisCol"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h="1" x="0"/>
        <item h="1" x="1"/>
        <item h="1" x="2"/>
        <item h="1" x="3"/>
        <item x="4"/>
        <item h="1" x="5"/>
        <item t="default"/>
      </items>
    </pivotField>
    <pivotField showAll="0">
      <items count="8">
        <item x="0"/>
        <item x="1"/>
        <item x="2"/>
        <item x="3"/>
        <item x="4"/>
        <item x="5"/>
        <item x="6"/>
        <item t="default"/>
      </items>
    </pivotField>
  </pivotFields>
  <rowFields count="1">
    <field x="10"/>
  </rowFields>
  <rowItems count="15">
    <i>
      <x/>
    </i>
    <i>
      <x v="21"/>
    </i>
    <i>
      <x v="47"/>
    </i>
    <i>
      <x v="55"/>
    </i>
    <i>
      <x v="57"/>
    </i>
    <i>
      <x v="61"/>
    </i>
    <i>
      <x v="62"/>
    </i>
    <i>
      <x v="75"/>
    </i>
    <i>
      <x v="77"/>
    </i>
    <i>
      <x v="92"/>
    </i>
    <i>
      <x v="93"/>
    </i>
    <i>
      <x v="97"/>
    </i>
    <i>
      <x v="101"/>
    </i>
    <i>
      <x v="105"/>
    </i>
    <i t="grand">
      <x/>
    </i>
  </rowItems>
  <colFields count="1">
    <field x="21"/>
  </colFields>
  <colItems count="3">
    <i>
      <x/>
    </i>
    <i>
      <x v="1"/>
    </i>
    <i t="grand">
      <x/>
    </i>
  </colItems>
  <dataFields count="1">
    <dataField name="Sum of Quantity" fld="2" baseField="0" baseItem="0"/>
  </dataFields>
  <chartFormats count="4">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4" format="4" series="1">
      <pivotArea type="data" outline="0" fieldPosition="0">
        <references count="2">
          <reference field="4294967294" count="1" selected="0">
            <x v="0"/>
          </reference>
          <reference field="21" count="1" selected="0">
            <x v="0"/>
          </reference>
        </references>
      </pivotArea>
    </chartFormat>
    <chartFormat chart="4" format="5"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F63C221-2F0E-484E-8D3E-102D7B07A275}" name="PivotTable36"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B114" firstHeaderRow="1" firstDataRow="1" firstDataCol="1"/>
  <pivotFields count="2">
    <pivotField axis="axisRow" allDrilled="1" subtotalTop="0" showAll="0" dataSourceSort="1" defaultSubtotal="0" defaultAttributeDrillState="1">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s>
    </pivotField>
    <pivotField dataField="1" subtotalTop="0" showAll="0" defaultSubtotal="0"/>
  </pivotFields>
  <rowFields count="1">
    <field x="0"/>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Items count="1">
    <i/>
  </colItems>
  <dataFields count="1">
    <dataField name="Sum of inventory value2" fld="1" baseField="0" baseItem="0"/>
  </dataFields>
  <chartFormats count="222">
    <chartFormat chart="2" format="0" series="1">
      <pivotArea type="data" outline="0" fieldPosition="0">
        <references count="1">
          <reference field="4294967294" count="1" selected="0">
            <x v="0"/>
          </reference>
        </references>
      </pivotArea>
    </chartFormat>
    <chartFormat chart="7" format="112" series="1">
      <pivotArea type="data" outline="0" fieldPosition="0">
        <references count="1">
          <reference field="4294967294" count="1" selected="0">
            <x v="0"/>
          </reference>
        </references>
      </pivotArea>
    </chartFormat>
    <chartFormat chart="7" format="113">
      <pivotArea type="data" outline="0" fieldPosition="0">
        <references count="2">
          <reference field="4294967294" count="1" selected="0">
            <x v="0"/>
          </reference>
          <reference field="0" count="1" selected="0">
            <x v="0"/>
          </reference>
        </references>
      </pivotArea>
    </chartFormat>
    <chartFormat chart="7" format="114">
      <pivotArea type="data" outline="0" fieldPosition="0">
        <references count="2">
          <reference field="4294967294" count="1" selected="0">
            <x v="0"/>
          </reference>
          <reference field="0" count="1" selected="0">
            <x v="1"/>
          </reference>
        </references>
      </pivotArea>
    </chartFormat>
    <chartFormat chart="7" format="115">
      <pivotArea type="data" outline="0" fieldPosition="0">
        <references count="2">
          <reference field="4294967294" count="1" selected="0">
            <x v="0"/>
          </reference>
          <reference field="0" count="1" selected="0">
            <x v="2"/>
          </reference>
        </references>
      </pivotArea>
    </chartFormat>
    <chartFormat chart="7" format="116">
      <pivotArea type="data" outline="0" fieldPosition="0">
        <references count="2">
          <reference field="4294967294" count="1" selected="0">
            <x v="0"/>
          </reference>
          <reference field="0" count="1" selected="0">
            <x v="3"/>
          </reference>
        </references>
      </pivotArea>
    </chartFormat>
    <chartFormat chart="7" format="117">
      <pivotArea type="data" outline="0" fieldPosition="0">
        <references count="2">
          <reference field="4294967294" count="1" selected="0">
            <x v="0"/>
          </reference>
          <reference field="0" count="1" selected="0">
            <x v="4"/>
          </reference>
        </references>
      </pivotArea>
    </chartFormat>
    <chartFormat chart="7" format="118">
      <pivotArea type="data" outline="0" fieldPosition="0">
        <references count="2">
          <reference field="4294967294" count="1" selected="0">
            <x v="0"/>
          </reference>
          <reference field="0" count="1" selected="0">
            <x v="5"/>
          </reference>
        </references>
      </pivotArea>
    </chartFormat>
    <chartFormat chart="7" format="119">
      <pivotArea type="data" outline="0" fieldPosition="0">
        <references count="2">
          <reference field="4294967294" count="1" selected="0">
            <x v="0"/>
          </reference>
          <reference field="0" count="1" selected="0">
            <x v="6"/>
          </reference>
        </references>
      </pivotArea>
    </chartFormat>
    <chartFormat chart="7" format="120">
      <pivotArea type="data" outline="0" fieldPosition="0">
        <references count="2">
          <reference field="4294967294" count="1" selected="0">
            <x v="0"/>
          </reference>
          <reference field="0" count="1" selected="0">
            <x v="7"/>
          </reference>
        </references>
      </pivotArea>
    </chartFormat>
    <chartFormat chart="7" format="121">
      <pivotArea type="data" outline="0" fieldPosition="0">
        <references count="2">
          <reference field="4294967294" count="1" selected="0">
            <x v="0"/>
          </reference>
          <reference field="0" count="1" selected="0">
            <x v="8"/>
          </reference>
        </references>
      </pivotArea>
    </chartFormat>
    <chartFormat chart="7" format="122">
      <pivotArea type="data" outline="0" fieldPosition="0">
        <references count="2">
          <reference field="4294967294" count="1" selected="0">
            <x v="0"/>
          </reference>
          <reference field="0" count="1" selected="0">
            <x v="9"/>
          </reference>
        </references>
      </pivotArea>
    </chartFormat>
    <chartFormat chart="7" format="123">
      <pivotArea type="data" outline="0" fieldPosition="0">
        <references count="2">
          <reference field="4294967294" count="1" selected="0">
            <x v="0"/>
          </reference>
          <reference field="0" count="1" selected="0">
            <x v="10"/>
          </reference>
        </references>
      </pivotArea>
    </chartFormat>
    <chartFormat chart="7" format="124">
      <pivotArea type="data" outline="0" fieldPosition="0">
        <references count="2">
          <reference field="4294967294" count="1" selected="0">
            <x v="0"/>
          </reference>
          <reference field="0" count="1" selected="0">
            <x v="11"/>
          </reference>
        </references>
      </pivotArea>
    </chartFormat>
    <chartFormat chart="7" format="125">
      <pivotArea type="data" outline="0" fieldPosition="0">
        <references count="2">
          <reference field="4294967294" count="1" selected="0">
            <x v="0"/>
          </reference>
          <reference field="0" count="1" selected="0">
            <x v="12"/>
          </reference>
        </references>
      </pivotArea>
    </chartFormat>
    <chartFormat chart="7" format="126">
      <pivotArea type="data" outline="0" fieldPosition="0">
        <references count="2">
          <reference field="4294967294" count="1" selected="0">
            <x v="0"/>
          </reference>
          <reference field="0" count="1" selected="0">
            <x v="13"/>
          </reference>
        </references>
      </pivotArea>
    </chartFormat>
    <chartFormat chart="7" format="127">
      <pivotArea type="data" outline="0" fieldPosition="0">
        <references count="2">
          <reference field="4294967294" count="1" selected="0">
            <x v="0"/>
          </reference>
          <reference field="0" count="1" selected="0">
            <x v="14"/>
          </reference>
        </references>
      </pivotArea>
    </chartFormat>
    <chartFormat chart="7" format="128">
      <pivotArea type="data" outline="0" fieldPosition="0">
        <references count="2">
          <reference field="4294967294" count="1" selected="0">
            <x v="0"/>
          </reference>
          <reference field="0" count="1" selected="0">
            <x v="15"/>
          </reference>
        </references>
      </pivotArea>
    </chartFormat>
    <chartFormat chart="7" format="129">
      <pivotArea type="data" outline="0" fieldPosition="0">
        <references count="2">
          <reference field="4294967294" count="1" selected="0">
            <x v="0"/>
          </reference>
          <reference field="0" count="1" selected="0">
            <x v="16"/>
          </reference>
        </references>
      </pivotArea>
    </chartFormat>
    <chartFormat chart="7" format="130">
      <pivotArea type="data" outline="0" fieldPosition="0">
        <references count="2">
          <reference field="4294967294" count="1" selected="0">
            <x v="0"/>
          </reference>
          <reference field="0" count="1" selected="0">
            <x v="17"/>
          </reference>
        </references>
      </pivotArea>
    </chartFormat>
    <chartFormat chart="7" format="131">
      <pivotArea type="data" outline="0" fieldPosition="0">
        <references count="2">
          <reference field="4294967294" count="1" selected="0">
            <x v="0"/>
          </reference>
          <reference field="0" count="1" selected="0">
            <x v="18"/>
          </reference>
        </references>
      </pivotArea>
    </chartFormat>
    <chartFormat chart="7" format="132">
      <pivotArea type="data" outline="0" fieldPosition="0">
        <references count="2">
          <reference field="4294967294" count="1" selected="0">
            <x v="0"/>
          </reference>
          <reference field="0" count="1" selected="0">
            <x v="19"/>
          </reference>
        </references>
      </pivotArea>
    </chartFormat>
    <chartFormat chart="7" format="133">
      <pivotArea type="data" outline="0" fieldPosition="0">
        <references count="2">
          <reference field="4294967294" count="1" selected="0">
            <x v="0"/>
          </reference>
          <reference field="0" count="1" selected="0">
            <x v="20"/>
          </reference>
        </references>
      </pivotArea>
    </chartFormat>
    <chartFormat chart="7" format="134">
      <pivotArea type="data" outline="0" fieldPosition="0">
        <references count="2">
          <reference field="4294967294" count="1" selected="0">
            <x v="0"/>
          </reference>
          <reference field="0" count="1" selected="0">
            <x v="21"/>
          </reference>
        </references>
      </pivotArea>
    </chartFormat>
    <chartFormat chart="7" format="135">
      <pivotArea type="data" outline="0" fieldPosition="0">
        <references count="2">
          <reference field="4294967294" count="1" selected="0">
            <x v="0"/>
          </reference>
          <reference field="0" count="1" selected="0">
            <x v="22"/>
          </reference>
        </references>
      </pivotArea>
    </chartFormat>
    <chartFormat chart="7" format="136">
      <pivotArea type="data" outline="0" fieldPosition="0">
        <references count="2">
          <reference field="4294967294" count="1" selected="0">
            <x v="0"/>
          </reference>
          <reference field="0" count="1" selected="0">
            <x v="23"/>
          </reference>
        </references>
      </pivotArea>
    </chartFormat>
    <chartFormat chart="7" format="137">
      <pivotArea type="data" outline="0" fieldPosition="0">
        <references count="2">
          <reference field="4294967294" count="1" selected="0">
            <x v="0"/>
          </reference>
          <reference field="0" count="1" selected="0">
            <x v="24"/>
          </reference>
        </references>
      </pivotArea>
    </chartFormat>
    <chartFormat chart="7" format="138">
      <pivotArea type="data" outline="0" fieldPosition="0">
        <references count="2">
          <reference field="4294967294" count="1" selected="0">
            <x v="0"/>
          </reference>
          <reference field="0" count="1" selected="0">
            <x v="25"/>
          </reference>
        </references>
      </pivotArea>
    </chartFormat>
    <chartFormat chart="7" format="139">
      <pivotArea type="data" outline="0" fieldPosition="0">
        <references count="2">
          <reference field="4294967294" count="1" selected="0">
            <x v="0"/>
          </reference>
          <reference field="0" count="1" selected="0">
            <x v="26"/>
          </reference>
        </references>
      </pivotArea>
    </chartFormat>
    <chartFormat chart="7" format="140">
      <pivotArea type="data" outline="0" fieldPosition="0">
        <references count="2">
          <reference field="4294967294" count="1" selected="0">
            <x v="0"/>
          </reference>
          <reference field="0" count="1" selected="0">
            <x v="27"/>
          </reference>
        </references>
      </pivotArea>
    </chartFormat>
    <chartFormat chart="7" format="141">
      <pivotArea type="data" outline="0" fieldPosition="0">
        <references count="2">
          <reference field="4294967294" count="1" selected="0">
            <x v="0"/>
          </reference>
          <reference field="0" count="1" selected="0">
            <x v="28"/>
          </reference>
        </references>
      </pivotArea>
    </chartFormat>
    <chartFormat chart="7" format="142">
      <pivotArea type="data" outline="0" fieldPosition="0">
        <references count="2">
          <reference field="4294967294" count="1" selected="0">
            <x v="0"/>
          </reference>
          <reference field="0" count="1" selected="0">
            <x v="29"/>
          </reference>
        </references>
      </pivotArea>
    </chartFormat>
    <chartFormat chart="7" format="143">
      <pivotArea type="data" outline="0" fieldPosition="0">
        <references count="2">
          <reference field="4294967294" count="1" selected="0">
            <x v="0"/>
          </reference>
          <reference field="0" count="1" selected="0">
            <x v="30"/>
          </reference>
        </references>
      </pivotArea>
    </chartFormat>
    <chartFormat chart="7" format="144">
      <pivotArea type="data" outline="0" fieldPosition="0">
        <references count="2">
          <reference field="4294967294" count="1" selected="0">
            <x v="0"/>
          </reference>
          <reference field="0" count="1" selected="0">
            <x v="31"/>
          </reference>
        </references>
      </pivotArea>
    </chartFormat>
    <chartFormat chart="7" format="145">
      <pivotArea type="data" outline="0" fieldPosition="0">
        <references count="2">
          <reference field="4294967294" count="1" selected="0">
            <x v="0"/>
          </reference>
          <reference field="0" count="1" selected="0">
            <x v="32"/>
          </reference>
        </references>
      </pivotArea>
    </chartFormat>
    <chartFormat chart="7" format="146">
      <pivotArea type="data" outline="0" fieldPosition="0">
        <references count="2">
          <reference field="4294967294" count="1" selected="0">
            <x v="0"/>
          </reference>
          <reference field="0" count="1" selected="0">
            <x v="33"/>
          </reference>
        </references>
      </pivotArea>
    </chartFormat>
    <chartFormat chart="7" format="147">
      <pivotArea type="data" outline="0" fieldPosition="0">
        <references count="2">
          <reference field="4294967294" count="1" selected="0">
            <x v="0"/>
          </reference>
          <reference field="0" count="1" selected="0">
            <x v="34"/>
          </reference>
        </references>
      </pivotArea>
    </chartFormat>
    <chartFormat chart="7" format="148">
      <pivotArea type="data" outline="0" fieldPosition="0">
        <references count="2">
          <reference field="4294967294" count="1" selected="0">
            <x v="0"/>
          </reference>
          <reference field="0" count="1" selected="0">
            <x v="35"/>
          </reference>
        </references>
      </pivotArea>
    </chartFormat>
    <chartFormat chart="7" format="149">
      <pivotArea type="data" outline="0" fieldPosition="0">
        <references count="2">
          <reference field="4294967294" count="1" selected="0">
            <x v="0"/>
          </reference>
          <reference field="0" count="1" selected="0">
            <x v="36"/>
          </reference>
        </references>
      </pivotArea>
    </chartFormat>
    <chartFormat chart="7" format="150">
      <pivotArea type="data" outline="0" fieldPosition="0">
        <references count="2">
          <reference field="4294967294" count="1" selected="0">
            <x v="0"/>
          </reference>
          <reference field="0" count="1" selected="0">
            <x v="37"/>
          </reference>
        </references>
      </pivotArea>
    </chartFormat>
    <chartFormat chart="7" format="151">
      <pivotArea type="data" outline="0" fieldPosition="0">
        <references count="2">
          <reference field="4294967294" count="1" selected="0">
            <x v="0"/>
          </reference>
          <reference field="0" count="1" selected="0">
            <x v="38"/>
          </reference>
        </references>
      </pivotArea>
    </chartFormat>
    <chartFormat chart="7" format="152">
      <pivotArea type="data" outline="0" fieldPosition="0">
        <references count="2">
          <reference field="4294967294" count="1" selected="0">
            <x v="0"/>
          </reference>
          <reference field="0" count="1" selected="0">
            <x v="39"/>
          </reference>
        </references>
      </pivotArea>
    </chartFormat>
    <chartFormat chart="7" format="153">
      <pivotArea type="data" outline="0" fieldPosition="0">
        <references count="2">
          <reference field="4294967294" count="1" selected="0">
            <x v="0"/>
          </reference>
          <reference field="0" count="1" selected="0">
            <x v="40"/>
          </reference>
        </references>
      </pivotArea>
    </chartFormat>
    <chartFormat chart="7" format="154">
      <pivotArea type="data" outline="0" fieldPosition="0">
        <references count="2">
          <reference field="4294967294" count="1" selected="0">
            <x v="0"/>
          </reference>
          <reference field="0" count="1" selected="0">
            <x v="41"/>
          </reference>
        </references>
      </pivotArea>
    </chartFormat>
    <chartFormat chart="7" format="155">
      <pivotArea type="data" outline="0" fieldPosition="0">
        <references count="2">
          <reference field="4294967294" count="1" selected="0">
            <x v="0"/>
          </reference>
          <reference field="0" count="1" selected="0">
            <x v="42"/>
          </reference>
        </references>
      </pivotArea>
    </chartFormat>
    <chartFormat chart="7" format="156">
      <pivotArea type="data" outline="0" fieldPosition="0">
        <references count="2">
          <reference field="4294967294" count="1" selected="0">
            <x v="0"/>
          </reference>
          <reference field="0" count="1" selected="0">
            <x v="43"/>
          </reference>
        </references>
      </pivotArea>
    </chartFormat>
    <chartFormat chart="7" format="157">
      <pivotArea type="data" outline="0" fieldPosition="0">
        <references count="2">
          <reference field="4294967294" count="1" selected="0">
            <x v="0"/>
          </reference>
          <reference field="0" count="1" selected="0">
            <x v="44"/>
          </reference>
        </references>
      </pivotArea>
    </chartFormat>
    <chartFormat chart="7" format="158">
      <pivotArea type="data" outline="0" fieldPosition="0">
        <references count="2">
          <reference field="4294967294" count="1" selected="0">
            <x v="0"/>
          </reference>
          <reference field="0" count="1" selected="0">
            <x v="45"/>
          </reference>
        </references>
      </pivotArea>
    </chartFormat>
    <chartFormat chart="7" format="159">
      <pivotArea type="data" outline="0" fieldPosition="0">
        <references count="2">
          <reference field="4294967294" count="1" selected="0">
            <x v="0"/>
          </reference>
          <reference field="0" count="1" selected="0">
            <x v="46"/>
          </reference>
        </references>
      </pivotArea>
    </chartFormat>
    <chartFormat chart="7" format="160">
      <pivotArea type="data" outline="0" fieldPosition="0">
        <references count="2">
          <reference field="4294967294" count="1" selected="0">
            <x v="0"/>
          </reference>
          <reference field="0" count="1" selected="0">
            <x v="47"/>
          </reference>
        </references>
      </pivotArea>
    </chartFormat>
    <chartFormat chart="7" format="161">
      <pivotArea type="data" outline="0" fieldPosition="0">
        <references count="2">
          <reference field="4294967294" count="1" selected="0">
            <x v="0"/>
          </reference>
          <reference field="0" count="1" selected="0">
            <x v="48"/>
          </reference>
        </references>
      </pivotArea>
    </chartFormat>
    <chartFormat chart="7" format="162">
      <pivotArea type="data" outline="0" fieldPosition="0">
        <references count="2">
          <reference field="4294967294" count="1" selected="0">
            <x v="0"/>
          </reference>
          <reference field="0" count="1" selected="0">
            <x v="49"/>
          </reference>
        </references>
      </pivotArea>
    </chartFormat>
    <chartFormat chart="7" format="163">
      <pivotArea type="data" outline="0" fieldPosition="0">
        <references count="2">
          <reference field="4294967294" count="1" selected="0">
            <x v="0"/>
          </reference>
          <reference field="0" count="1" selected="0">
            <x v="50"/>
          </reference>
        </references>
      </pivotArea>
    </chartFormat>
    <chartFormat chart="7" format="164">
      <pivotArea type="data" outline="0" fieldPosition="0">
        <references count="2">
          <reference field="4294967294" count="1" selected="0">
            <x v="0"/>
          </reference>
          <reference field="0" count="1" selected="0">
            <x v="51"/>
          </reference>
        </references>
      </pivotArea>
    </chartFormat>
    <chartFormat chart="7" format="165">
      <pivotArea type="data" outline="0" fieldPosition="0">
        <references count="2">
          <reference field="4294967294" count="1" selected="0">
            <x v="0"/>
          </reference>
          <reference field="0" count="1" selected="0">
            <x v="52"/>
          </reference>
        </references>
      </pivotArea>
    </chartFormat>
    <chartFormat chart="7" format="166">
      <pivotArea type="data" outline="0" fieldPosition="0">
        <references count="2">
          <reference field="4294967294" count="1" selected="0">
            <x v="0"/>
          </reference>
          <reference field="0" count="1" selected="0">
            <x v="53"/>
          </reference>
        </references>
      </pivotArea>
    </chartFormat>
    <chartFormat chart="7" format="167">
      <pivotArea type="data" outline="0" fieldPosition="0">
        <references count="2">
          <reference field="4294967294" count="1" selected="0">
            <x v="0"/>
          </reference>
          <reference field="0" count="1" selected="0">
            <x v="54"/>
          </reference>
        </references>
      </pivotArea>
    </chartFormat>
    <chartFormat chart="7" format="168">
      <pivotArea type="data" outline="0" fieldPosition="0">
        <references count="2">
          <reference field="4294967294" count="1" selected="0">
            <x v="0"/>
          </reference>
          <reference field="0" count="1" selected="0">
            <x v="55"/>
          </reference>
        </references>
      </pivotArea>
    </chartFormat>
    <chartFormat chart="7" format="169">
      <pivotArea type="data" outline="0" fieldPosition="0">
        <references count="2">
          <reference field="4294967294" count="1" selected="0">
            <x v="0"/>
          </reference>
          <reference field="0" count="1" selected="0">
            <x v="56"/>
          </reference>
        </references>
      </pivotArea>
    </chartFormat>
    <chartFormat chart="7" format="170">
      <pivotArea type="data" outline="0" fieldPosition="0">
        <references count="2">
          <reference field="4294967294" count="1" selected="0">
            <x v="0"/>
          </reference>
          <reference field="0" count="1" selected="0">
            <x v="57"/>
          </reference>
        </references>
      </pivotArea>
    </chartFormat>
    <chartFormat chart="7" format="171">
      <pivotArea type="data" outline="0" fieldPosition="0">
        <references count="2">
          <reference field="4294967294" count="1" selected="0">
            <x v="0"/>
          </reference>
          <reference field="0" count="1" selected="0">
            <x v="58"/>
          </reference>
        </references>
      </pivotArea>
    </chartFormat>
    <chartFormat chart="7" format="172">
      <pivotArea type="data" outline="0" fieldPosition="0">
        <references count="2">
          <reference field="4294967294" count="1" selected="0">
            <x v="0"/>
          </reference>
          <reference field="0" count="1" selected="0">
            <x v="59"/>
          </reference>
        </references>
      </pivotArea>
    </chartFormat>
    <chartFormat chart="7" format="173">
      <pivotArea type="data" outline="0" fieldPosition="0">
        <references count="2">
          <reference field="4294967294" count="1" selected="0">
            <x v="0"/>
          </reference>
          <reference field="0" count="1" selected="0">
            <x v="60"/>
          </reference>
        </references>
      </pivotArea>
    </chartFormat>
    <chartFormat chart="7" format="174">
      <pivotArea type="data" outline="0" fieldPosition="0">
        <references count="2">
          <reference field="4294967294" count="1" selected="0">
            <x v="0"/>
          </reference>
          <reference field="0" count="1" selected="0">
            <x v="61"/>
          </reference>
        </references>
      </pivotArea>
    </chartFormat>
    <chartFormat chart="7" format="175">
      <pivotArea type="data" outline="0" fieldPosition="0">
        <references count="2">
          <reference field="4294967294" count="1" selected="0">
            <x v="0"/>
          </reference>
          <reference field="0" count="1" selected="0">
            <x v="62"/>
          </reference>
        </references>
      </pivotArea>
    </chartFormat>
    <chartFormat chart="7" format="176">
      <pivotArea type="data" outline="0" fieldPosition="0">
        <references count="2">
          <reference field="4294967294" count="1" selected="0">
            <x v="0"/>
          </reference>
          <reference field="0" count="1" selected="0">
            <x v="63"/>
          </reference>
        </references>
      </pivotArea>
    </chartFormat>
    <chartFormat chart="7" format="177">
      <pivotArea type="data" outline="0" fieldPosition="0">
        <references count="2">
          <reference field="4294967294" count="1" selected="0">
            <x v="0"/>
          </reference>
          <reference field="0" count="1" selected="0">
            <x v="64"/>
          </reference>
        </references>
      </pivotArea>
    </chartFormat>
    <chartFormat chart="7" format="178">
      <pivotArea type="data" outline="0" fieldPosition="0">
        <references count="2">
          <reference field="4294967294" count="1" selected="0">
            <x v="0"/>
          </reference>
          <reference field="0" count="1" selected="0">
            <x v="65"/>
          </reference>
        </references>
      </pivotArea>
    </chartFormat>
    <chartFormat chart="7" format="179">
      <pivotArea type="data" outline="0" fieldPosition="0">
        <references count="2">
          <reference field="4294967294" count="1" selected="0">
            <x v="0"/>
          </reference>
          <reference field="0" count="1" selected="0">
            <x v="66"/>
          </reference>
        </references>
      </pivotArea>
    </chartFormat>
    <chartFormat chart="7" format="180">
      <pivotArea type="data" outline="0" fieldPosition="0">
        <references count="2">
          <reference field="4294967294" count="1" selected="0">
            <x v="0"/>
          </reference>
          <reference field="0" count="1" selected="0">
            <x v="67"/>
          </reference>
        </references>
      </pivotArea>
    </chartFormat>
    <chartFormat chart="7" format="181">
      <pivotArea type="data" outline="0" fieldPosition="0">
        <references count="2">
          <reference field="4294967294" count="1" selected="0">
            <x v="0"/>
          </reference>
          <reference field="0" count="1" selected="0">
            <x v="68"/>
          </reference>
        </references>
      </pivotArea>
    </chartFormat>
    <chartFormat chart="7" format="182">
      <pivotArea type="data" outline="0" fieldPosition="0">
        <references count="2">
          <reference field="4294967294" count="1" selected="0">
            <x v="0"/>
          </reference>
          <reference field="0" count="1" selected="0">
            <x v="69"/>
          </reference>
        </references>
      </pivotArea>
    </chartFormat>
    <chartFormat chart="7" format="183">
      <pivotArea type="data" outline="0" fieldPosition="0">
        <references count="2">
          <reference field="4294967294" count="1" selected="0">
            <x v="0"/>
          </reference>
          <reference field="0" count="1" selected="0">
            <x v="70"/>
          </reference>
        </references>
      </pivotArea>
    </chartFormat>
    <chartFormat chart="7" format="184">
      <pivotArea type="data" outline="0" fieldPosition="0">
        <references count="2">
          <reference field="4294967294" count="1" selected="0">
            <x v="0"/>
          </reference>
          <reference field="0" count="1" selected="0">
            <x v="71"/>
          </reference>
        </references>
      </pivotArea>
    </chartFormat>
    <chartFormat chart="7" format="185">
      <pivotArea type="data" outline="0" fieldPosition="0">
        <references count="2">
          <reference field="4294967294" count="1" selected="0">
            <x v="0"/>
          </reference>
          <reference field="0" count="1" selected="0">
            <x v="72"/>
          </reference>
        </references>
      </pivotArea>
    </chartFormat>
    <chartFormat chart="7" format="186">
      <pivotArea type="data" outline="0" fieldPosition="0">
        <references count="2">
          <reference field="4294967294" count="1" selected="0">
            <x v="0"/>
          </reference>
          <reference field="0" count="1" selected="0">
            <x v="73"/>
          </reference>
        </references>
      </pivotArea>
    </chartFormat>
    <chartFormat chart="7" format="187">
      <pivotArea type="data" outline="0" fieldPosition="0">
        <references count="2">
          <reference field="4294967294" count="1" selected="0">
            <x v="0"/>
          </reference>
          <reference field="0" count="1" selected="0">
            <x v="74"/>
          </reference>
        </references>
      </pivotArea>
    </chartFormat>
    <chartFormat chart="7" format="188">
      <pivotArea type="data" outline="0" fieldPosition="0">
        <references count="2">
          <reference field="4294967294" count="1" selected="0">
            <x v="0"/>
          </reference>
          <reference field="0" count="1" selected="0">
            <x v="75"/>
          </reference>
        </references>
      </pivotArea>
    </chartFormat>
    <chartFormat chart="7" format="189">
      <pivotArea type="data" outline="0" fieldPosition="0">
        <references count="2">
          <reference field="4294967294" count="1" selected="0">
            <x v="0"/>
          </reference>
          <reference field="0" count="1" selected="0">
            <x v="76"/>
          </reference>
        </references>
      </pivotArea>
    </chartFormat>
    <chartFormat chart="7" format="190">
      <pivotArea type="data" outline="0" fieldPosition="0">
        <references count="2">
          <reference field="4294967294" count="1" selected="0">
            <x v="0"/>
          </reference>
          <reference field="0" count="1" selected="0">
            <x v="77"/>
          </reference>
        </references>
      </pivotArea>
    </chartFormat>
    <chartFormat chart="7" format="191">
      <pivotArea type="data" outline="0" fieldPosition="0">
        <references count="2">
          <reference field="4294967294" count="1" selected="0">
            <x v="0"/>
          </reference>
          <reference field="0" count="1" selected="0">
            <x v="78"/>
          </reference>
        </references>
      </pivotArea>
    </chartFormat>
    <chartFormat chart="7" format="192">
      <pivotArea type="data" outline="0" fieldPosition="0">
        <references count="2">
          <reference field="4294967294" count="1" selected="0">
            <x v="0"/>
          </reference>
          <reference field="0" count="1" selected="0">
            <x v="79"/>
          </reference>
        </references>
      </pivotArea>
    </chartFormat>
    <chartFormat chart="7" format="193">
      <pivotArea type="data" outline="0" fieldPosition="0">
        <references count="2">
          <reference field="4294967294" count="1" selected="0">
            <x v="0"/>
          </reference>
          <reference field="0" count="1" selected="0">
            <x v="80"/>
          </reference>
        </references>
      </pivotArea>
    </chartFormat>
    <chartFormat chart="7" format="194">
      <pivotArea type="data" outline="0" fieldPosition="0">
        <references count="2">
          <reference field="4294967294" count="1" selected="0">
            <x v="0"/>
          </reference>
          <reference field="0" count="1" selected="0">
            <x v="81"/>
          </reference>
        </references>
      </pivotArea>
    </chartFormat>
    <chartFormat chart="7" format="195">
      <pivotArea type="data" outline="0" fieldPosition="0">
        <references count="2">
          <reference field="4294967294" count="1" selected="0">
            <x v="0"/>
          </reference>
          <reference field="0" count="1" selected="0">
            <x v="82"/>
          </reference>
        </references>
      </pivotArea>
    </chartFormat>
    <chartFormat chart="7" format="196">
      <pivotArea type="data" outline="0" fieldPosition="0">
        <references count="2">
          <reference field="4294967294" count="1" selected="0">
            <x v="0"/>
          </reference>
          <reference field="0" count="1" selected="0">
            <x v="83"/>
          </reference>
        </references>
      </pivotArea>
    </chartFormat>
    <chartFormat chart="7" format="197">
      <pivotArea type="data" outline="0" fieldPosition="0">
        <references count="2">
          <reference field="4294967294" count="1" selected="0">
            <x v="0"/>
          </reference>
          <reference field="0" count="1" selected="0">
            <x v="84"/>
          </reference>
        </references>
      </pivotArea>
    </chartFormat>
    <chartFormat chart="7" format="198">
      <pivotArea type="data" outline="0" fieldPosition="0">
        <references count="2">
          <reference field="4294967294" count="1" selected="0">
            <x v="0"/>
          </reference>
          <reference field="0" count="1" selected="0">
            <x v="85"/>
          </reference>
        </references>
      </pivotArea>
    </chartFormat>
    <chartFormat chart="7" format="199">
      <pivotArea type="data" outline="0" fieldPosition="0">
        <references count="2">
          <reference field="4294967294" count="1" selected="0">
            <x v="0"/>
          </reference>
          <reference field="0" count="1" selected="0">
            <x v="86"/>
          </reference>
        </references>
      </pivotArea>
    </chartFormat>
    <chartFormat chart="7" format="200">
      <pivotArea type="data" outline="0" fieldPosition="0">
        <references count="2">
          <reference field="4294967294" count="1" selected="0">
            <x v="0"/>
          </reference>
          <reference field="0" count="1" selected="0">
            <x v="87"/>
          </reference>
        </references>
      </pivotArea>
    </chartFormat>
    <chartFormat chart="7" format="201">
      <pivotArea type="data" outline="0" fieldPosition="0">
        <references count="2">
          <reference field="4294967294" count="1" selected="0">
            <x v="0"/>
          </reference>
          <reference field="0" count="1" selected="0">
            <x v="88"/>
          </reference>
        </references>
      </pivotArea>
    </chartFormat>
    <chartFormat chart="7" format="202">
      <pivotArea type="data" outline="0" fieldPosition="0">
        <references count="2">
          <reference field="4294967294" count="1" selected="0">
            <x v="0"/>
          </reference>
          <reference field="0" count="1" selected="0">
            <x v="89"/>
          </reference>
        </references>
      </pivotArea>
    </chartFormat>
    <chartFormat chart="7" format="203">
      <pivotArea type="data" outline="0" fieldPosition="0">
        <references count="2">
          <reference field="4294967294" count="1" selected="0">
            <x v="0"/>
          </reference>
          <reference field="0" count="1" selected="0">
            <x v="90"/>
          </reference>
        </references>
      </pivotArea>
    </chartFormat>
    <chartFormat chart="7" format="204">
      <pivotArea type="data" outline="0" fieldPosition="0">
        <references count="2">
          <reference field="4294967294" count="1" selected="0">
            <x v="0"/>
          </reference>
          <reference field="0" count="1" selected="0">
            <x v="91"/>
          </reference>
        </references>
      </pivotArea>
    </chartFormat>
    <chartFormat chart="7" format="205">
      <pivotArea type="data" outline="0" fieldPosition="0">
        <references count="2">
          <reference field="4294967294" count="1" selected="0">
            <x v="0"/>
          </reference>
          <reference field="0" count="1" selected="0">
            <x v="92"/>
          </reference>
        </references>
      </pivotArea>
    </chartFormat>
    <chartFormat chart="7" format="206">
      <pivotArea type="data" outline="0" fieldPosition="0">
        <references count="2">
          <reference field="4294967294" count="1" selected="0">
            <x v="0"/>
          </reference>
          <reference field="0" count="1" selected="0">
            <x v="93"/>
          </reference>
        </references>
      </pivotArea>
    </chartFormat>
    <chartFormat chart="7" format="207">
      <pivotArea type="data" outline="0" fieldPosition="0">
        <references count="2">
          <reference field="4294967294" count="1" selected="0">
            <x v="0"/>
          </reference>
          <reference field="0" count="1" selected="0">
            <x v="94"/>
          </reference>
        </references>
      </pivotArea>
    </chartFormat>
    <chartFormat chart="7" format="208">
      <pivotArea type="data" outline="0" fieldPosition="0">
        <references count="2">
          <reference field="4294967294" count="1" selected="0">
            <x v="0"/>
          </reference>
          <reference field="0" count="1" selected="0">
            <x v="95"/>
          </reference>
        </references>
      </pivotArea>
    </chartFormat>
    <chartFormat chart="7" format="209">
      <pivotArea type="data" outline="0" fieldPosition="0">
        <references count="2">
          <reference field="4294967294" count="1" selected="0">
            <x v="0"/>
          </reference>
          <reference field="0" count="1" selected="0">
            <x v="96"/>
          </reference>
        </references>
      </pivotArea>
    </chartFormat>
    <chartFormat chart="7" format="210">
      <pivotArea type="data" outline="0" fieldPosition="0">
        <references count="2">
          <reference field="4294967294" count="1" selected="0">
            <x v="0"/>
          </reference>
          <reference field="0" count="1" selected="0">
            <x v="97"/>
          </reference>
        </references>
      </pivotArea>
    </chartFormat>
    <chartFormat chart="7" format="211">
      <pivotArea type="data" outline="0" fieldPosition="0">
        <references count="2">
          <reference field="4294967294" count="1" selected="0">
            <x v="0"/>
          </reference>
          <reference field="0" count="1" selected="0">
            <x v="98"/>
          </reference>
        </references>
      </pivotArea>
    </chartFormat>
    <chartFormat chart="7" format="212">
      <pivotArea type="data" outline="0" fieldPosition="0">
        <references count="2">
          <reference field="4294967294" count="1" selected="0">
            <x v="0"/>
          </reference>
          <reference field="0" count="1" selected="0">
            <x v="99"/>
          </reference>
        </references>
      </pivotArea>
    </chartFormat>
    <chartFormat chart="7" format="213">
      <pivotArea type="data" outline="0" fieldPosition="0">
        <references count="2">
          <reference field="4294967294" count="1" selected="0">
            <x v="0"/>
          </reference>
          <reference field="0" count="1" selected="0">
            <x v="100"/>
          </reference>
        </references>
      </pivotArea>
    </chartFormat>
    <chartFormat chart="7" format="214">
      <pivotArea type="data" outline="0" fieldPosition="0">
        <references count="2">
          <reference field="4294967294" count="1" selected="0">
            <x v="0"/>
          </reference>
          <reference field="0" count="1" selected="0">
            <x v="101"/>
          </reference>
        </references>
      </pivotArea>
    </chartFormat>
    <chartFormat chart="7" format="215">
      <pivotArea type="data" outline="0" fieldPosition="0">
        <references count="2">
          <reference field="4294967294" count="1" selected="0">
            <x v="0"/>
          </reference>
          <reference field="0" count="1" selected="0">
            <x v="102"/>
          </reference>
        </references>
      </pivotArea>
    </chartFormat>
    <chartFormat chart="7" format="216">
      <pivotArea type="data" outline="0" fieldPosition="0">
        <references count="2">
          <reference field="4294967294" count="1" selected="0">
            <x v="0"/>
          </reference>
          <reference field="0" count="1" selected="0">
            <x v="103"/>
          </reference>
        </references>
      </pivotArea>
    </chartFormat>
    <chartFormat chart="7" format="217">
      <pivotArea type="data" outline="0" fieldPosition="0">
        <references count="2">
          <reference field="4294967294" count="1" selected="0">
            <x v="0"/>
          </reference>
          <reference field="0" count="1" selected="0">
            <x v="104"/>
          </reference>
        </references>
      </pivotArea>
    </chartFormat>
    <chartFormat chart="7" format="218">
      <pivotArea type="data" outline="0" fieldPosition="0">
        <references count="2">
          <reference field="4294967294" count="1" selected="0">
            <x v="0"/>
          </reference>
          <reference field="0" count="1" selected="0">
            <x v="105"/>
          </reference>
        </references>
      </pivotArea>
    </chartFormat>
    <chartFormat chart="7" format="219">
      <pivotArea type="data" outline="0" fieldPosition="0">
        <references count="2">
          <reference field="4294967294" count="1" selected="0">
            <x v="0"/>
          </reference>
          <reference field="0" count="1" selected="0">
            <x v="106"/>
          </reference>
        </references>
      </pivotArea>
    </chartFormat>
    <chartFormat chart="7" format="220">
      <pivotArea type="data" outline="0" fieldPosition="0">
        <references count="2">
          <reference field="4294967294" count="1" selected="0">
            <x v="0"/>
          </reference>
          <reference field="0" count="1" selected="0">
            <x v="107"/>
          </reference>
        </references>
      </pivotArea>
    </chartFormat>
    <chartFormat chart="7" format="221">
      <pivotArea type="data" outline="0" fieldPosition="0">
        <references count="2">
          <reference field="4294967294" count="1" selected="0">
            <x v="0"/>
          </reference>
          <reference field="0" count="1" selected="0">
            <x v="108"/>
          </reference>
        </references>
      </pivotArea>
    </chartFormat>
    <chartFormat chart="7" format="222">
      <pivotArea type="data" outline="0" fieldPosition="0">
        <references count="2">
          <reference field="4294967294" count="1" selected="0">
            <x v="0"/>
          </reference>
          <reference field="0" count="1" selected="0">
            <x v="109"/>
          </reference>
        </references>
      </pivotArea>
    </chartFormat>
    <chartFormat chart="2" format="111">
      <pivotArea type="data" outline="0" fieldPosition="0">
        <references count="2">
          <reference field="4294967294" count="1" selected="0">
            <x v="0"/>
          </reference>
          <reference field="0" count="1" selected="0">
            <x v="0"/>
          </reference>
        </references>
      </pivotArea>
    </chartFormat>
    <chartFormat chart="2" format="112">
      <pivotArea type="data" outline="0" fieldPosition="0">
        <references count="2">
          <reference field="4294967294" count="1" selected="0">
            <x v="0"/>
          </reference>
          <reference field="0" count="1" selected="0">
            <x v="1"/>
          </reference>
        </references>
      </pivotArea>
    </chartFormat>
    <chartFormat chart="2" format="113">
      <pivotArea type="data" outline="0" fieldPosition="0">
        <references count="2">
          <reference field="4294967294" count="1" selected="0">
            <x v="0"/>
          </reference>
          <reference field="0" count="1" selected="0">
            <x v="2"/>
          </reference>
        </references>
      </pivotArea>
    </chartFormat>
    <chartFormat chart="2" format="114">
      <pivotArea type="data" outline="0" fieldPosition="0">
        <references count="2">
          <reference field="4294967294" count="1" selected="0">
            <x v="0"/>
          </reference>
          <reference field="0" count="1" selected="0">
            <x v="3"/>
          </reference>
        </references>
      </pivotArea>
    </chartFormat>
    <chartFormat chart="2" format="115">
      <pivotArea type="data" outline="0" fieldPosition="0">
        <references count="2">
          <reference field="4294967294" count="1" selected="0">
            <x v="0"/>
          </reference>
          <reference field="0" count="1" selected="0">
            <x v="4"/>
          </reference>
        </references>
      </pivotArea>
    </chartFormat>
    <chartFormat chart="2" format="116">
      <pivotArea type="data" outline="0" fieldPosition="0">
        <references count="2">
          <reference field="4294967294" count="1" selected="0">
            <x v="0"/>
          </reference>
          <reference field="0" count="1" selected="0">
            <x v="5"/>
          </reference>
        </references>
      </pivotArea>
    </chartFormat>
    <chartFormat chart="2" format="117">
      <pivotArea type="data" outline="0" fieldPosition="0">
        <references count="2">
          <reference field="4294967294" count="1" selected="0">
            <x v="0"/>
          </reference>
          <reference field="0" count="1" selected="0">
            <x v="6"/>
          </reference>
        </references>
      </pivotArea>
    </chartFormat>
    <chartFormat chart="2" format="118">
      <pivotArea type="data" outline="0" fieldPosition="0">
        <references count="2">
          <reference field="4294967294" count="1" selected="0">
            <x v="0"/>
          </reference>
          <reference field="0" count="1" selected="0">
            <x v="7"/>
          </reference>
        </references>
      </pivotArea>
    </chartFormat>
    <chartFormat chart="2" format="119">
      <pivotArea type="data" outline="0" fieldPosition="0">
        <references count="2">
          <reference field="4294967294" count="1" selected="0">
            <x v="0"/>
          </reference>
          <reference field="0" count="1" selected="0">
            <x v="8"/>
          </reference>
        </references>
      </pivotArea>
    </chartFormat>
    <chartFormat chart="2" format="120">
      <pivotArea type="data" outline="0" fieldPosition="0">
        <references count="2">
          <reference field="4294967294" count="1" selected="0">
            <x v="0"/>
          </reference>
          <reference field="0" count="1" selected="0">
            <x v="9"/>
          </reference>
        </references>
      </pivotArea>
    </chartFormat>
    <chartFormat chart="2" format="121">
      <pivotArea type="data" outline="0" fieldPosition="0">
        <references count="2">
          <reference field="4294967294" count="1" selected="0">
            <x v="0"/>
          </reference>
          <reference field="0" count="1" selected="0">
            <x v="10"/>
          </reference>
        </references>
      </pivotArea>
    </chartFormat>
    <chartFormat chart="2" format="122">
      <pivotArea type="data" outline="0" fieldPosition="0">
        <references count="2">
          <reference field="4294967294" count="1" selected="0">
            <x v="0"/>
          </reference>
          <reference field="0" count="1" selected="0">
            <x v="11"/>
          </reference>
        </references>
      </pivotArea>
    </chartFormat>
    <chartFormat chart="2" format="123">
      <pivotArea type="data" outline="0" fieldPosition="0">
        <references count="2">
          <reference field="4294967294" count="1" selected="0">
            <x v="0"/>
          </reference>
          <reference field="0" count="1" selected="0">
            <x v="12"/>
          </reference>
        </references>
      </pivotArea>
    </chartFormat>
    <chartFormat chart="2" format="124">
      <pivotArea type="data" outline="0" fieldPosition="0">
        <references count="2">
          <reference field="4294967294" count="1" selected="0">
            <x v="0"/>
          </reference>
          <reference field="0" count="1" selected="0">
            <x v="13"/>
          </reference>
        </references>
      </pivotArea>
    </chartFormat>
    <chartFormat chart="2" format="125">
      <pivotArea type="data" outline="0" fieldPosition="0">
        <references count="2">
          <reference field="4294967294" count="1" selected="0">
            <x v="0"/>
          </reference>
          <reference field="0" count="1" selected="0">
            <x v="14"/>
          </reference>
        </references>
      </pivotArea>
    </chartFormat>
    <chartFormat chart="2" format="126">
      <pivotArea type="data" outline="0" fieldPosition="0">
        <references count="2">
          <reference field="4294967294" count="1" selected="0">
            <x v="0"/>
          </reference>
          <reference field="0" count="1" selected="0">
            <x v="15"/>
          </reference>
        </references>
      </pivotArea>
    </chartFormat>
    <chartFormat chart="2" format="127">
      <pivotArea type="data" outline="0" fieldPosition="0">
        <references count="2">
          <reference field="4294967294" count="1" selected="0">
            <x v="0"/>
          </reference>
          <reference field="0" count="1" selected="0">
            <x v="16"/>
          </reference>
        </references>
      </pivotArea>
    </chartFormat>
    <chartFormat chart="2" format="128">
      <pivotArea type="data" outline="0" fieldPosition="0">
        <references count="2">
          <reference field="4294967294" count="1" selected="0">
            <x v="0"/>
          </reference>
          <reference field="0" count="1" selected="0">
            <x v="17"/>
          </reference>
        </references>
      </pivotArea>
    </chartFormat>
    <chartFormat chart="2" format="129">
      <pivotArea type="data" outline="0" fieldPosition="0">
        <references count="2">
          <reference field="4294967294" count="1" selected="0">
            <x v="0"/>
          </reference>
          <reference field="0" count="1" selected="0">
            <x v="18"/>
          </reference>
        </references>
      </pivotArea>
    </chartFormat>
    <chartFormat chart="2" format="130">
      <pivotArea type="data" outline="0" fieldPosition="0">
        <references count="2">
          <reference field="4294967294" count="1" selected="0">
            <x v="0"/>
          </reference>
          <reference field="0" count="1" selected="0">
            <x v="19"/>
          </reference>
        </references>
      </pivotArea>
    </chartFormat>
    <chartFormat chart="2" format="131">
      <pivotArea type="data" outline="0" fieldPosition="0">
        <references count="2">
          <reference field="4294967294" count="1" selected="0">
            <x v="0"/>
          </reference>
          <reference field="0" count="1" selected="0">
            <x v="20"/>
          </reference>
        </references>
      </pivotArea>
    </chartFormat>
    <chartFormat chart="2" format="132">
      <pivotArea type="data" outline="0" fieldPosition="0">
        <references count="2">
          <reference field="4294967294" count="1" selected="0">
            <x v="0"/>
          </reference>
          <reference field="0" count="1" selected="0">
            <x v="21"/>
          </reference>
        </references>
      </pivotArea>
    </chartFormat>
    <chartFormat chart="2" format="133">
      <pivotArea type="data" outline="0" fieldPosition="0">
        <references count="2">
          <reference field="4294967294" count="1" selected="0">
            <x v="0"/>
          </reference>
          <reference field="0" count="1" selected="0">
            <x v="22"/>
          </reference>
        </references>
      </pivotArea>
    </chartFormat>
    <chartFormat chart="2" format="134">
      <pivotArea type="data" outline="0" fieldPosition="0">
        <references count="2">
          <reference field="4294967294" count="1" selected="0">
            <x v="0"/>
          </reference>
          <reference field="0" count="1" selected="0">
            <x v="23"/>
          </reference>
        </references>
      </pivotArea>
    </chartFormat>
    <chartFormat chart="2" format="135">
      <pivotArea type="data" outline="0" fieldPosition="0">
        <references count="2">
          <reference field="4294967294" count="1" selected="0">
            <x v="0"/>
          </reference>
          <reference field="0" count="1" selected="0">
            <x v="24"/>
          </reference>
        </references>
      </pivotArea>
    </chartFormat>
    <chartFormat chart="2" format="136">
      <pivotArea type="data" outline="0" fieldPosition="0">
        <references count="2">
          <reference field="4294967294" count="1" selected="0">
            <x v="0"/>
          </reference>
          <reference field="0" count="1" selected="0">
            <x v="25"/>
          </reference>
        </references>
      </pivotArea>
    </chartFormat>
    <chartFormat chart="2" format="137">
      <pivotArea type="data" outline="0" fieldPosition="0">
        <references count="2">
          <reference field="4294967294" count="1" selected="0">
            <x v="0"/>
          </reference>
          <reference field="0" count="1" selected="0">
            <x v="26"/>
          </reference>
        </references>
      </pivotArea>
    </chartFormat>
    <chartFormat chart="2" format="138">
      <pivotArea type="data" outline="0" fieldPosition="0">
        <references count="2">
          <reference field="4294967294" count="1" selected="0">
            <x v="0"/>
          </reference>
          <reference field="0" count="1" selected="0">
            <x v="27"/>
          </reference>
        </references>
      </pivotArea>
    </chartFormat>
    <chartFormat chart="2" format="139">
      <pivotArea type="data" outline="0" fieldPosition="0">
        <references count="2">
          <reference field="4294967294" count="1" selected="0">
            <x v="0"/>
          </reference>
          <reference field="0" count="1" selected="0">
            <x v="28"/>
          </reference>
        </references>
      </pivotArea>
    </chartFormat>
    <chartFormat chart="2" format="140">
      <pivotArea type="data" outline="0" fieldPosition="0">
        <references count="2">
          <reference field="4294967294" count="1" selected="0">
            <x v="0"/>
          </reference>
          <reference field="0" count="1" selected="0">
            <x v="29"/>
          </reference>
        </references>
      </pivotArea>
    </chartFormat>
    <chartFormat chart="2" format="141">
      <pivotArea type="data" outline="0" fieldPosition="0">
        <references count="2">
          <reference field="4294967294" count="1" selected="0">
            <x v="0"/>
          </reference>
          <reference field="0" count="1" selected="0">
            <x v="30"/>
          </reference>
        </references>
      </pivotArea>
    </chartFormat>
    <chartFormat chart="2" format="142">
      <pivotArea type="data" outline="0" fieldPosition="0">
        <references count="2">
          <reference field="4294967294" count="1" selected="0">
            <x v="0"/>
          </reference>
          <reference field="0" count="1" selected="0">
            <x v="31"/>
          </reference>
        </references>
      </pivotArea>
    </chartFormat>
    <chartFormat chart="2" format="143">
      <pivotArea type="data" outline="0" fieldPosition="0">
        <references count="2">
          <reference field="4294967294" count="1" selected="0">
            <x v="0"/>
          </reference>
          <reference field="0" count="1" selected="0">
            <x v="32"/>
          </reference>
        </references>
      </pivotArea>
    </chartFormat>
    <chartFormat chart="2" format="144">
      <pivotArea type="data" outline="0" fieldPosition="0">
        <references count="2">
          <reference field="4294967294" count="1" selected="0">
            <x v="0"/>
          </reference>
          <reference field="0" count="1" selected="0">
            <x v="33"/>
          </reference>
        </references>
      </pivotArea>
    </chartFormat>
    <chartFormat chart="2" format="145">
      <pivotArea type="data" outline="0" fieldPosition="0">
        <references count="2">
          <reference field="4294967294" count="1" selected="0">
            <x v="0"/>
          </reference>
          <reference field="0" count="1" selected="0">
            <x v="34"/>
          </reference>
        </references>
      </pivotArea>
    </chartFormat>
    <chartFormat chart="2" format="146">
      <pivotArea type="data" outline="0" fieldPosition="0">
        <references count="2">
          <reference field="4294967294" count="1" selected="0">
            <x v="0"/>
          </reference>
          <reference field="0" count="1" selected="0">
            <x v="35"/>
          </reference>
        </references>
      </pivotArea>
    </chartFormat>
    <chartFormat chart="2" format="147">
      <pivotArea type="data" outline="0" fieldPosition="0">
        <references count="2">
          <reference field="4294967294" count="1" selected="0">
            <x v="0"/>
          </reference>
          <reference field="0" count="1" selected="0">
            <x v="36"/>
          </reference>
        </references>
      </pivotArea>
    </chartFormat>
    <chartFormat chart="2" format="148">
      <pivotArea type="data" outline="0" fieldPosition="0">
        <references count="2">
          <reference field="4294967294" count="1" selected="0">
            <x v="0"/>
          </reference>
          <reference field="0" count="1" selected="0">
            <x v="37"/>
          </reference>
        </references>
      </pivotArea>
    </chartFormat>
    <chartFormat chart="2" format="149">
      <pivotArea type="data" outline="0" fieldPosition="0">
        <references count="2">
          <reference field="4294967294" count="1" selected="0">
            <x v="0"/>
          </reference>
          <reference field="0" count="1" selected="0">
            <x v="38"/>
          </reference>
        </references>
      </pivotArea>
    </chartFormat>
    <chartFormat chart="2" format="150">
      <pivotArea type="data" outline="0" fieldPosition="0">
        <references count="2">
          <reference field="4294967294" count="1" selected="0">
            <x v="0"/>
          </reference>
          <reference field="0" count="1" selected="0">
            <x v="39"/>
          </reference>
        </references>
      </pivotArea>
    </chartFormat>
    <chartFormat chart="2" format="151">
      <pivotArea type="data" outline="0" fieldPosition="0">
        <references count="2">
          <reference field="4294967294" count="1" selected="0">
            <x v="0"/>
          </reference>
          <reference field="0" count="1" selected="0">
            <x v="40"/>
          </reference>
        </references>
      </pivotArea>
    </chartFormat>
    <chartFormat chart="2" format="152">
      <pivotArea type="data" outline="0" fieldPosition="0">
        <references count="2">
          <reference field="4294967294" count="1" selected="0">
            <x v="0"/>
          </reference>
          <reference field="0" count="1" selected="0">
            <x v="41"/>
          </reference>
        </references>
      </pivotArea>
    </chartFormat>
    <chartFormat chart="2" format="153">
      <pivotArea type="data" outline="0" fieldPosition="0">
        <references count="2">
          <reference field="4294967294" count="1" selected="0">
            <x v="0"/>
          </reference>
          <reference field="0" count="1" selected="0">
            <x v="42"/>
          </reference>
        </references>
      </pivotArea>
    </chartFormat>
    <chartFormat chart="2" format="154">
      <pivotArea type="data" outline="0" fieldPosition="0">
        <references count="2">
          <reference field="4294967294" count="1" selected="0">
            <x v="0"/>
          </reference>
          <reference field="0" count="1" selected="0">
            <x v="43"/>
          </reference>
        </references>
      </pivotArea>
    </chartFormat>
    <chartFormat chart="2" format="155">
      <pivotArea type="data" outline="0" fieldPosition="0">
        <references count="2">
          <reference field="4294967294" count="1" selected="0">
            <x v="0"/>
          </reference>
          <reference field="0" count="1" selected="0">
            <x v="44"/>
          </reference>
        </references>
      </pivotArea>
    </chartFormat>
    <chartFormat chart="2" format="156">
      <pivotArea type="data" outline="0" fieldPosition="0">
        <references count="2">
          <reference field="4294967294" count="1" selected="0">
            <x v="0"/>
          </reference>
          <reference field="0" count="1" selected="0">
            <x v="45"/>
          </reference>
        </references>
      </pivotArea>
    </chartFormat>
    <chartFormat chart="2" format="157">
      <pivotArea type="data" outline="0" fieldPosition="0">
        <references count="2">
          <reference field="4294967294" count="1" selected="0">
            <x v="0"/>
          </reference>
          <reference field="0" count="1" selected="0">
            <x v="46"/>
          </reference>
        </references>
      </pivotArea>
    </chartFormat>
    <chartFormat chart="2" format="158">
      <pivotArea type="data" outline="0" fieldPosition="0">
        <references count="2">
          <reference field="4294967294" count="1" selected="0">
            <x v="0"/>
          </reference>
          <reference field="0" count="1" selected="0">
            <x v="47"/>
          </reference>
        </references>
      </pivotArea>
    </chartFormat>
    <chartFormat chart="2" format="159">
      <pivotArea type="data" outline="0" fieldPosition="0">
        <references count="2">
          <reference field="4294967294" count="1" selected="0">
            <x v="0"/>
          </reference>
          <reference field="0" count="1" selected="0">
            <x v="48"/>
          </reference>
        </references>
      </pivotArea>
    </chartFormat>
    <chartFormat chart="2" format="160">
      <pivotArea type="data" outline="0" fieldPosition="0">
        <references count="2">
          <reference field="4294967294" count="1" selected="0">
            <x v="0"/>
          </reference>
          <reference field="0" count="1" selected="0">
            <x v="49"/>
          </reference>
        </references>
      </pivotArea>
    </chartFormat>
    <chartFormat chart="2" format="161">
      <pivotArea type="data" outline="0" fieldPosition="0">
        <references count="2">
          <reference field="4294967294" count="1" selected="0">
            <x v="0"/>
          </reference>
          <reference field="0" count="1" selected="0">
            <x v="50"/>
          </reference>
        </references>
      </pivotArea>
    </chartFormat>
    <chartFormat chart="2" format="162">
      <pivotArea type="data" outline="0" fieldPosition="0">
        <references count="2">
          <reference field="4294967294" count="1" selected="0">
            <x v="0"/>
          </reference>
          <reference field="0" count="1" selected="0">
            <x v="51"/>
          </reference>
        </references>
      </pivotArea>
    </chartFormat>
    <chartFormat chart="2" format="163">
      <pivotArea type="data" outline="0" fieldPosition="0">
        <references count="2">
          <reference field="4294967294" count="1" selected="0">
            <x v="0"/>
          </reference>
          <reference field="0" count="1" selected="0">
            <x v="52"/>
          </reference>
        </references>
      </pivotArea>
    </chartFormat>
    <chartFormat chart="2" format="164">
      <pivotArea type="data" outline="0" fieldPosition="0">
        <references count="2">
          <reference field="4294967294" count="1" selected="0">
            <x v="0"/>
          </reference>
          <reference field="0" count="1" selected="0">
            <x v="53"/>
          </reference>
        </references>
      </pivotArea>
    </chartFormat>
    <chartFormat chart="2" format="165">
      <pivotArea type="data" outline="0" fieldPosition="0">
        <references count="2">
          <reference field="4294967294" count="1" selected="0">
            <x v="0"/>
          </reference>
          <reference field="0" count="1" selected="0">
            <x v="54"/>
          </reference>
        </references>
      </pivotArea>
    </chartFormat>
    <chartFormat chart="2" format="166">
      <pivotArea type="data" outline="0" fieldPosition="0">
        <references count="2">
          <reference field="4294967294" count="1" selected="0">
            <x v="0"/>
          </reference>
          <reference field="0" count="1" selected="0">
            <x v="55"/>
          </reference>
        </references>
      </pivotArea>
    </chartFormat>
    <chartFormat chart="2" format="167">
      <pivotArea type="data" outline="0" fieldPosition="0">
        <references count="2">
          <reference field="4294967294" count="1" selected="0">
            <x v="0"/>
          </reference>
          <reference field="0" count="1" selected="0">
            <x v="56"/>
          </reference>
        </references>
      </pivotArea>
    </chartFormat>
    <chartFormat chart="2" format="168">
      <pivotArea type="data" outline="0" fieldPosition="0">
        <references count="2">
          <reference field="4294967294" count="1" selected="0">
            <x v="0"/>
          </reference>
          <reference field="0" count="1" selected="0">
            <x v="57"/>
          </reference>
        </references>
      </pivotArea>
    </chartFormat>
    <chartFormat chart="2" format="169">
      <pivotArea type="data" outline="0" fieldPosition="0">
        <references count="2">
          <reference field="4294967294" count="1" selected="0">
            <x v="0"/>
          </reference>
          <reference field="0" count="1" selected="0">
            <x v="58"/>
          </reference>
        </references>
      </pivotArea>
    </chartFormat>
    <chartFormat chart="2" format="170">
      <pivotArea type="data" outline="0" fieldPosition="0">
        <references count="2">
          <reference field="4294967294" count="1" selected="0">
            <x v="0"/>
          </reference>
          <reference field="0" count="1" selected="0">
            <x v="59"/>
          </reference>
        </references>
      </pivotArea>
    </chartFormat>
    <chartFormat chart="2" format="171">
      <pivotArea type="data" outline="0" fieldPosition="0">
        <references count="2">
          <reference field="4294967294" count="1" selected="0">
            <x v="0"/>
          </reference>
          <reference field="0" count="1" selected="0">
            <x v="60"/>
          </reference>
        </references>
      </pivotArea>
    </chartFormat>
    <chartFormat chart="2" format="172">
      <pivotArea type="data" outline="0" fieldPosition="0">
        <references count="2">
          <reference field="4294967294" count="1" selected="0">
            <x v="0"/>
          </reference>
          <reference field="0" count="1" selected="0">
            <x v="61"/>
          </reference>
        </references>
      </pivotArea>
    </chartFormat>
    <chartFormat chart="2" format="173">
      <pivotArea type="data" outline="0" fieldPosition="0">
        <references count="2">
          <reference field="4294967294" count="1" selected="0">
            <x v="0"/>
          </reference>
          <reference field="0" count="1" selected="0">
            <x v="62"/>
          </reference>
        </references>
      </pivotArea>
    </chartFormat>
    <chartFormat chart="2" format="174">
      <pivotArea type="data" outline="0" fieldPosition="0">
        <references count="2">
          <reference field="4294967294" count="1" selected="0">
            <x v="0"/>
          </reference>
          <reference field="0" count="1" selected="0">
            <x v="63"/>
          </reference>
        </references>
      </pivotArea>
    </chartFormat>
    <chartFormat chart="2" format="175">
      <pivotArea type="data" outline="0" fieldPosition="0">
        <references count="2">
          <reference field="4294967294" count="1" selected="0">
            <x v="0"/>
          </reference>
          <reference field="0" count="1" selected="0">
            <x v="64"/>
          </reference>
        </references>
      </pivotArea>
    </chartFormat>
    <chartFormat chart="2" format="176">
      <pivotArea type="data" outline="0" fieldPosition="0">
        <references count="2">
          <reference field="4294967294" count="1" selected="0">
            <x v="0"/>
          </reference>
          <reference field="0" count="1" selected="0">
            <x v="65"/>
          </reference>
        </references>
      </pivotArea>
    </chartFormat>
    <chartFormat chart="2" format="177">
      <pivotArea type="data" outline="0" fieldPosition="0">
        <references count="2">
          <reference field="4294967294" count="1" selected="0">
            <x v="0"/>
          </reference>
          <reference field="0" count="1" selected="0">
            <x v="66"/>
          </reference>
        </references>
      </pivotArea>
    </chartFormat>
    <chartFormat chart="2" format="178">
      <pivotArea type="data" outline="0" fieldPosition="0">
        <references count="2">
          <reference field="4294967294" count="1" selected="0">
            <x v="0"/>
          </reference>
          <reference field="0" count="1" selected="0">
            <x v="67"/>
          </reference>
        </references>
      </pivotArea>
    </chartFormat>
    <chartFormat chart="2" format="179">
      <pivotArea type="data" outline="0" fieldPosition="0">
        <references count="2">
          <reference field="4294967294" count="1" selected="0">
            <x v="0"/>
          </reference>
          <reference field="0" count="1" selected="0">
            <x v="68"/>
          </reference>
        </references>
      </pivotArea>
    </chartFormat>
    <chartFormat chart="2" format="180">
      <pivotArea type="data" outline="0" fieldPosition="0">
        <references count="2">
          <reference field="4294967294" count="1" selected="0">
            <x v="0"/>
          </reference>
          <reference field="0" count="1" selected="0">
            <x v="69"/>
          </reference>
        </references>
      </pivotArea>
    </chartFormat>
    <chartFormat chart="2" format="181">
      <pivotArea type="data" outline="0" fieldPosition="0">
        <references count="2">
          <reference field="4294967294" count="1" selected="0">
            <x v="0"/>
          </reference>
          <reference field="0" count="1" selected="0">
            <x v="70"/>
          </reference>
        </references>
      </pivotArea>
    </chartFormat>
    <chartFormat chart="2" format="182">
      <pivotArea type="data" outline="0" fieldPosition="0">
        <references count="2">
          <reference field="4294967294" count="1" selected="0">
            <x v="0"/>
          </reference>
          <reference field="0" count="1" selected="0">
            <x v="71"/>
          </reference>
        </references>
      </pivotArea>
    </chartFormat>
    <chartFormat chart="2" format="183">
      <pivotArea type="data" outline="0" fieldPosition="0">
        <references count="2">
          <reference field="4294967294" count="1" selected="0">
            <x v="0"/>
          </reference>
          <reference field="0" count="1" selected="0">
            <x v="72"/>
          </reference>
        </references>
      </pivotArea>
    </chartFormat>
    <chartFormat chart="2" format="184">
      <pivotArea type="data" outline="0" fieldPosition="0">
        <references count="2">
          <reference field="4294967294" count="1" selected="0">
            <x v="0"/>
          </reference>
          <reference field="0" count="1" selected="0">
            <x v="73"/>
          </reference>
        </references>
      </pivotArea>
    </chartFormat>
    <chartFormat chart="2" format="185">
      <pivotArea type="data" outline="0" fieldPosition="0">
        <references count="2">
          <reference field="4294967294" count="1" selected="0">
            <x v="0"/>
          </reference>
          <reference field="0" count="1" selected="0">
            <x v="74"/>
          </reference>
        </references>
      </pivotArea>
    </chartFormat>
    <chartFormat chart="2" format="186">
      <pivotArea type="data" outline="0" fieldPosition="0">
        <references count="2">
          <reference field="4294967294" count="1" selected="0">
            <x v="0"/>
          </reference>
          <reference field="0" count="1" selected="0">
            <x v="75"/>
          </reference>
        </references>
      </pivotArea>
    </chartFormat>
    <chartFormat chart="2" format="187">
      <pivotArea type="data" outline="0" fieldPosition="0">
        <references count="2">
          <reference field="4294967294" count="1" selected="0">
            <x v="0"/>
          </reference>
          <reference field="0" count="1" selected="0">
            <x v="76"/>
          </reference>
        </references>
      </pivotArea>
    </chartFormat>
    <chartFormat chart="2" format="188">
      <pivotArea type="data" outline="0" fieldPosition="0">
        <references count="2">
          <reference field="4294967294" count="1" selected="0">
            <x v="0"/>
          </reference>
          <reference field="0" count="1" selected="0">
            <x v="77"/>
          </reference>
        </references>
      </pivotArea>
    </chartFormat>
    <chartFormat chart="2" format="189">
      <pivotArea type="data" outline="0" fieldPosition="0">
        <references count="2">
          <reference field="4294967294" count="1" selected="0">
            <x v="0"/>
          </reference>
          <reference field="0" count="1" selected="0">
            <x v="78"/>
          </reference>
        </references>
      </pivotArea>
    </chartFormat>
    <chartFormat chart="2" format="190">
      <pivotArea type="data" outline="0" fieldPosition="0">
        <references count="2">
          <reference field="4294967294" count="1" selected="0">
            <x v="0"/>
          </reference>
          <reference field="0" count="1" selected="0">
            <x v="79"/>
          </reference>
        </references>
      </pivotArea>
    </chartFormat>
    <chartFormat chart="2" format="191">
      <pivotArea type="data" outline="0" fieldPosition="0">
        <references count="2">
          <reference field="4294967294" count="1" selected="0">
            <x v="0"/>
          </reference>
          <reference field="0" count="1" selected="0">
            <x v="80"/>
          </reference>
        </references>
      </pivotArea>
    </chartFormat>
    <chartFormat chart="2" format="192">
      <pivotArea type="data" outline="0" fieldPosition="0">
        <references count="2">
          <reference field="4294967294" count="1" selected="0">
            <x v="0"/>
          </reference>
          <reference field="0" count="1" selected="0">
            <x v="81"/>
          </reference>
        </references>
      </pivotArea>
    </chartFormat>
    <chartFormat chart="2" format="193">
      <pivotArea type="data" outline="0" fieldPosition="0">
        <references count="2">
          <reference field="4294967294" count="1" selected="0">
            <x v="0"/>
          </reference>
          <reference field="0" count="1" selected="0">
            <x v="82"/>
          </reference>
        </references>
      </pivotArea>
    </chartFormat>
    <chartFormat chart="2" format="194">
      <pivotArea type="data" outline="0" fieldPosition="0">
        <references count="2">
          <reference field="4294967294" count="1" selected="0">
            <x v="0"/>
          </reference>
          <reference field="0" count="1" selected="0">
            <x v="83"/>
          </reference>
        </references>
      </pivotArea>
    </chartFormat>
    <chartFormat chart="2" format="195">
      <pivotArea type="data" outline="0" fieldPosition="0">
        <references count="2">
          <reference field="4294967294" count="1" selected="0">
            <x v="0"/>
          </reference>
          <reference field="0" count="1" selected="0">
            <x v="84"/>
          </reference>
        </references>
      </pivotArea>
    </chartFormat>
    <chartFormat chart="2" format="196">
      <pivotArea type="data" outline="0" fieldPosition="0">
        <references count="2">
          <reference field="4294967294" count="1" selected="0">
            <x v="0"/>
          </reference>
          <reference field="0" count="1" selected="0">
            <x v="85"/>
          </reference>
        </references>
      </pivotArea>
    </chartFormat>
    <chartFormat chart="2" format="197">
      <pivotArea type="data" outline="0" fieldPosition="0">
        <references count="2">
          <reference field="4294967294" count="1" selected="0">
            <x v="0"/>
          </reference>
          <reference field="0" count="1" selected="0">
            <x v="86"/>
          </reference>
        </references>
      </pivotArea>
    </chartFormat>
    <chartFormat chart="2" format="198">
      <pivotArea type="data" outline="0" fieldPosition="0">
        <references count="2">
          <reference field="4294967294" count="1" selected="0">
            <x v="0"/>
          </reference>
          <reference field="0" count="1" selected="0">
            <x v="87"/>
          </reference>
        </references>
      </pivotArea>
    </chartFormat>
    <chartFormat chart="2" format="199">
      <pivotArea type="data" outline="0" fieldPosition="0">
        <references count="2">
          <reference field="4294967294" count="1" selected="0">
            <x v="0"/>
          </reference>
          <reference field="0" count="1" selected="0">
            <x v="88"/>
          </reference>
        </references>
      </pivotArea>
    </chartFormat>
    <chartFormat chart="2" format="200">
      <pivotArea type="data" outline="0" fieldPosition="0">
        <references count="2">
          <reference field="4294967294" count="1" selected="0">
            <x v="0"/>
          </reference>
          <reference field="0" count="1" selected="0">
            <x v="89"/>
          </reference>
        </references>
      </pivotArea>
    </chartFormat>
    <chartFormat chart="2" format="201">
      <pivotArea type="data" outline="0" fieldPosition="0">
        <references count="2">
          <reference field="4294967294" count="1" selected="0">
            <x v="0"/>
          </reference>
          <reference field="0" count="1" selected="0">
            <x v="90"/>
          </reference>
        </references>
      </pivotArea>
    </chartFormat>
    <chartFormat chart="2" format="202">
      <pivotArea type="data" outline="0" fieldPosition="0">
        <references count="2">
          <reference field="4294967294" count="1" selected="0">
            <x v="0"/>
          </reference>
          <reference field="0" count="1" selected="0">
            <x v="91"/>
          </reference>
        </references>
      </pivotArea>
    </chartFormat>
    <chartFormat chart="2" format="203">
      <pivotArea type="data" outline="0" fieldPosition="0">
        <references count="2">
          <reference field="4294967294" count="1" selected="0">
            <x v="0"/>
          </reference>
          <reference field="0" count="1" selected="0">
            <x v="92"/>
          </reference>
        </references>
      </pivotArea>
    </chartFormat>
    <chartFormat chart="2" format="204">
      <pivotArea type="data" outline="0" fieldPosition="0">
        <references count="2">
          <reference field="4294967294" count="1" selected="0">
            <x v="0"/>
          </reference>
          <reference field="0" count="1" selected="0">
            <x v="93"/>
          </reference>
        </references>
      </pivotArea>
    </chartFormat>
    <chartFormat chart="2" format="205">
      <pivotArea type="data" outline="0" fieldPosition="0">
        <references count="2">
          <reference field="4294967294" count="1" selected="0">
            <x v="0"/>
          </reference>
          <reference field="0" count="1" selected="0">
            <x v="94"/>
          </reference>
        </references>
      </pivotArea>
    </chartFormat>
    <chartFormat chart="2" format="206">
      <pivotArea type="data" outline="0" fieldPosition="0">
        <references count="2">
          <reference field="4294967294" count="1" selected="0">
            <x v="0"/>
          </reference>
          <reference field="0" count="1" selected="0">
            <x v="95"/>
          </reference>
        </references>
      </pivotArea>
    </chartFormat>
    <chartFormat chart="2" format="207">
      <pivotArea type="data" outline="0" fieldPosition="0">
        <references count="2">
          <reference field="4294967294" count="1" selected="0">
            <x v="0"/>
          </reference>
          <reference field="0" count="1" selected="0">
            <x v="96"/>
          </reference>
        </references>
      </pivotArea>
    </chartFormat>
    <chartFormat chart="2" format="208">
      <pivotArea type="data" outline="0" fieldPosition="0">
        <references count="2">
          <reference field="4294967294" count="1" selected="0">
            <x v="0"/>
          </reference>
          <reference field="0" count="1" selected="0">
            <x v="97"/>
          </reference>
        </references>
      </pivotArea>
    </chartFormat>
    <chartFormat chart="2" format="209">
      <pivotArea type="data" outline="0" fieldPosition="0">
        <references count="2">
          <reference field="4294967294" count="1" selected="0">
            <x v="0"/>
          </reference>
          <reference field="0" count="1" selected="0">
            <x v="98"/>
          </reference>
        </references>
      </pivotArea>
    </chartFormat>
    <chartFormat chart="2" format="210">
      <pivotArea type="data" outline="0" fieldPosition="0">
        <references count="2">
          <reference field="4294967294" count="1" selected="0">
            <x v="0"/>
          </reference>
          <reference field="0" count="1" selected="0">
            <x v="99"/>
          </reference>
        </references>
      </pivotArea>
    </chartFormat>
    <chartFormat chart="2" format="211">
      <pivotArea type="data" outline="0" fieldPosition="0">
        <references count="2">
          <reference field="4294967294" count="1" selected="0">
            <x v="0"/>
          </reference>
          <reference field="0" count="1" selected="0">
            <x v="100"/>
          </reference>
        </references>
      </pivotArea>
    </chartFormat>
    <chartFormat chart="2" format="212">
      <pivotArea type="data" outline="0" fieldPosition="0">
        <references count="2">
          <reference field="4294967294" count="1" selected="0">
            <x v="0"/>
          </reference>
          <reference field="0" count="1" selected="0">
            <x v="101"/>
          </reference>
        </references>
      </pivotArea>
    </chartFormat>
    <chartFormat chart="2" format="213">
      <pivotArea type="data" outline="0" fieldPosition="0">
        <references count="2">
          <reference field="4294967294" count="1" selected="0">
            <x v="0"/>
          </reference>
          <reference field="0" count="1" selected="0">
            <x v="102"/>
          </reference>
        </references>
      </pivotArea>
    </chartFormat>
    <chartFormat chart="2" format="214">
      <pivotArea type="data" outline="0" fieldPosition="0">
        <references count="2">
          <reference field="4294967294" count="1" selected="0">
            <x v="0"/>
          </reference>
          <reference field="0" count="1" selected="0">
            <x v="103"/>
          </reference>
        </references>
      </pivotArea>
    </chartFormat>
    <chartFormat chart="2" format="215">
      <pivotArea type="data" outline="0" fieldPosition="0">
        <references count="2">
          <reference field="4294967294" count="1" selected="0">
            <x v="0"/>
          </reference>
          <reference field="0" count="1" selected="0">
            <x v="104"/>
          </reference>
        </references>
      </pivotArea>
    </chartFormat>
    <chartFormat chart="2" format="216">
      <pivotArea type="data" outline="0" fieldPosition="0">
        <references count="2">
          <reference field="4294967294" count="1" selected="0">
            <x v="0"/>
          </reference>
          <reference field="0" count="1" selected="0">
            <x v="105"/>
          </reference>
        </references>
      </pivotArea>
    </chartFormat>
    <chartFormat chart="2" format="217">
      <pivotArea type="data" outline="0" fieldPosition="0">
        <references count="2">
          <reference field="4294967294" count="1" selected="0">
            <x v="0"/>
          </reference>
          <reference field="0" count="1" selected="0">
            <x v="106"/>
          </reference>
        </references>
      </pivotArea>
    </chartFormat>
    <chartFormat chart="2" format="218">
      <pivotArea type="data" outline="0" fieldPosition="0">
        <references count="2">
          <reference field="4294967294" count="1" selected="0">
            <x v="0"/>
          </reference>
          <reference field="0" count="1" selected="0">
            <x v="107"/>
          </reference>
        </references>
      </pivotArea>
    </chartFormat>
    <chartFormat chart="2" format="219">
      <pivotArea type="data" outline="0" fieldPosition="0">
        <references count="2">
          <reference field="4294967294" count="1" selected="0">
            <x v="0"/>
          </reference>
          <reference field="0" count="1" selected="0">
            <x v="108"/>
          </reference>
        </references>
      </pivotArea>
    </chartFormat>
    <chartFormat chart="2" format="220">
      <pivotArea type="data" outline="0" fieldPosition="0">
        <references count="2">
          <reference field="4294967294" count="1" selected="0">
            <x v="0"/>
          </reference>
          <reference field="0" count="1" selected="0">
            <x v="109"/>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data.xlsx!sheet9">
        <x15:activeTabTopLevelEntity name="[sheet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427A967-A4C3-4EA8-9FAA-995D8583EB7D}" name="PivotTable3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2">
    <pivotField axis="axisRow" allDrilled="1" showAll="0" dataSourceSort="1" defaultAttributeDrillState="1">
      <items count="6">
        <item x="0"/>
        <item x="1"/>
        <item x="2"/>
        <item x="3"/>
        <item x="4"/>
        <item t="default"/>
      </items>
    </pivotField>
    <pivotField dataField="1" subtotalTop="0" showAll="0" defaultSubtotal="0"/>
  </pivotFields>
  <rowFields count="1">
    <field x="0"/>
  </rowFields>
  <rowItems count="6">
    <i>
      <x/>
    </i>
    <i>
      <x v="1"/>
    </i>
    <i>
      <x v="2"/>
    </i>
    <i>
      <x v="3"/>
    </i>
    <i>
      <x v="4"/>
    </i>
    <i t="grand">
      <x/>
    </i>
  </rowItems>
  <colItems count="1">
    <i/>
  </colItems>
  <dataFields count="1">
    <dataField name="Sum of gross profit" fld="1" baseField="0" baseItem="0"/>
  </dataFields>
  <chartFormats count="7">
    <chartFormat chart="2" format="12"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0" count="1" selected="0">
            <x v="4"/>
          </reference>
        </references>
      </pivotArea>
    </chartFormat>
    <chartFormat chart="0" format="12">
      <pivotArea type="data" outline="0" fieldPosition="0">
        <references count="2">
          <reference field="4294967294" count="1" selected="0">
            <x v="0"/>
          </reference>
          <reference field="0" count="1" selected="0">
            <x v="3"/>
          </reference>
        </references>
      </pivotArea>
    </chartFormat>
    <chartFormat chart="0" format="13">
      <pivotArea type="data" outline="0" fieldPosition="0">
        <references count="2">
          <reference field="4294967294" count="1" selected="0">
            <x v="0"/>
          </reference>
          <reference field="0" count="1" selected="0">
            <x v="2"/>
          </reference>
        </references>
      </pivotArea>
    </chartFormat>
    <chartFormat chart="0" format="14">
      <pivotArea type="data" outline="0" fieldPosition="0">
        <references count="2">
          <reference field="4294967294" count="1" selected="0">
            <x v="0"/>
          </reference>
          <reference field="0" count="1" selected="0">
            <x v="1"/>
          </reference>
        </references>
      </pivotArea>
    </chartFormat>
    <chartFormat chart="0" format="15">
      <pivotArea type="data" outline="0" fieldPosition="0">
        <references count="2">
          <reference field="4294967294" count="1" selected="0">
            <x v="0"/>
          </reference>
          <reference field="0"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data.xlsx!sheet9">
        <x15:activeTabTopLevelEntity name="[sheet9]"/>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7" xr16:uid="{8321FEE6-40B4-4AC0-A422-108F1D62AF3D}" autoFormatId="16" applyNumberFormats="0" applyBorderFormats="0" applyFontFormats="0" applyPatternFormats="0" applyAlignmentFormats="0" applyWidthHeightFormats="0">
  <queryTableRefresh nextId="28" unboundColumnsRight="6">
    <queryTableFields count="23">
      <queryTableField id="1" name="Order Number" tableColumnId="1"/>
      <queryTableField id="2" name="Date" tableColumnId="2"/>
      <queryTableField id="3" name="Quantity" tableColumnId="3"/>
      <queryTableField id="4" name="Cost" tableColumnId="4"/>
      <queryTableField id="5" name="Price" tableColumnId="5"/>
      <queryTableField id="6" name="Store Key" tableColumnId="6"/>
      <queryTableField id="7" name="Cust Key" tableColumnId="7"/>
      <queryTableField id="8" name="sheet8.Product Key" tableColumnId="8"/>
      <queryTableField id="9" name="sheet8.Sales Amount" tableColumnId="9"/>
      <queryTableField id="10" name="sheet8.Cost Amount" tableColumnId="10"/>
      <queryTableField id="11" name="sheet6.Product Name" tableColumnId="11"/>
      <queryTableField id="12" name="sheet6.Product Type" tableColumnId="12"/>
      <queryTableField id="13" name="sheet6.Quantity on Hand" tableColumnId="13"/>
      <queryTableField id="14" name="sheet4.Store Name" tableColumnId="14"/>
      <queryTableField id="15" name="sheet4.Store Address" tableColumnId="15"/>
      <queryTableField id="16" name="sheet4.Store Region" tableColumnId="16"/>
      <queryTableField id="17" name="sheet3.Cust Region" tableColumnId="17"/>
      <queryTableField id="20" dataBound="0" tableColumnId="19"/>
      <queryTableField id="23" dataBound="0" tableColumnId="22"/>
      <queryTableField id="24" dataBound="0" tableColumnId="23"/>
      <queryTableField id="25" dataBound="0" tableColumnId="24"/>
      <queryTableField id="26" dataBound="0" tableColumnId="25"/>
      <queryTableField id="27"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55A5DB95-9199-45DF-9F0B-76F89F8417DA}" sourceName="Years (Date)">
  <pivotTables>
    <pivotTable tabId="21" name="PivotTable13"/>
    <pivotTable tabId="57" name="PivotTable4"/>
    <pivotTable tabId="58" name="PivotTable5"/>
    <pivotTable tabId="10" name="PivotTable2"/>
    <pivotTable tabId="22" name="PivotTable14"/>
    <pivotTable tabId="23" name="PivotTable15"/>
    <pivotTable tabId="24" name="PivotTable16"/>
    <pivotTable tabId="53" name="PivotTable2"/>
    <pivotTable tabId="26" name="PivotTable18"/>
    <pivotTable tabId="49" name="PivotTable41"/>
    <pivotTable tabId="60" name="PivotTable1"/>
  </pivotTables>
  <data>
    <tabular pivotCacheId="1002482369">
      <items count="7">
        <i x="1" s="1"/>
        <i x="2" s="1"/>
        <i x="3" s="1"/>
        <i x="4" s="1"/>
        <i x="0" s="1" nd="1"/>
        <i x="6"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1561643C-259E-41B6-BB88-6662E8EA68CD}" sourceName="Quarters (Date)">
  <pivotTables>
    <pivotTable tabId="21" name="PivotTable13"/>
    <pivotTable tabId="57" name="PivotTable4"/>
    <pivotTable tabId="58" name="PivotTable5"/>
    <pivotTable tabId="10" name="PivotTable2"/>
    <pivotTable tabId="22" name="PivotTable14"/>
    <pivotTable tabId="23" name="PivotTable15"/>
    <pivotTable tabId="24" name="PivotTable16"/>
    <pivotTable tabId="53" name="PivotTable2"/>
    <pivotTable tabId="26" name="PivotTable18"/>
    <pivotTable tabId="49" name="PivotTable41"/>
    <pivotTable tabId="60" name="PivotTable1"/>
  </pivotTables>
  <data>
    <tabular pivotCacheId="1002482369">
      <items count="6">
        <i x="1"/>
        <i x="2"/>
        <i x="3"/>
        <i x="4" s="1"/>
        <i x="0" nd="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FE4EE62A-E1A5-4837-8D38-BC0D387A4383}" sourceName="Months (Date)">
  <pivotTables>
    <pivotTable tabId="21" name="PivotTable13"/>
    <pivotTable tabId="57" name="PivotTable4"/>
    <pivotTable tabId="58" name="PivotTable5"/>
    <pivotTable tabId="10" name="PivotTable2"/>
    <pivotTable tabId="22" name="PivotTable14"/>
    <pivotTable tabId="23" name="PivotTable15"/>
    <pivotTable tabId="24" name="PivotTable16"/>
    <pivotTable tabId="53" name="PivotTable2"/>
    <pivotTable tabId="26" name="PivotTable18"/>
    <pivotTable tabId="49" name="PivotTable41"/>
    <pivotTable tabId="60" name="PivotTable1"/>
  </pivotTables>
  <data>
    <tabular pivotCacheId="1002482369">
      <items count="14">
        <i x="10" s="1"/>
        <i x="11" s="1"/>
        <i x="1" s="1" nd="1"/>
        <i x="2" s="1" nd="1"/>
        <i x="3" s="1" nd="1"/>
        <i x="4" s="1" nd="1"/>
        <i x="5" s="1" nd="1"/>
        <i x="6" s="1" nd="1"/>
        <i x="7" s="1" nd="1"/>
        <i x="8" s="1" nd="1"/>
        <i x="9" s="1" nd="1"/>
        <i x="12" s="1" nd="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eet3.Cust_Region" xr10:uid="{CA44B613-C31C-4B4F-97DD-A017ACEEE774}" sourceName="sheet3.Cust Region">
  <pivotTables>
    <pivotTable tabId="21" name="PivotTable13"/>
    <pivotTable tabId="57" name="PivotTable4"/>
    <pivotTable tabId="58" name="PivotTable5"/>
    <pivotTable tabId="10" name="PivotTable2"/>
    <pivotTable tabId="22" name="PivotTable14"/>
    <pivotTable tabId="23" name="PivotTable15"/>
    <pivotTable tabId="24" name="PivotTable16"/>
    <pivotTable tabId="53" name="PivotTable2"/>
    <pivotTable tabId="26" name="PivotTable18"/>
    <pivotTable tabId="49" name="PivotTable41"/>
    <pivotTable tabId="60" name="PivotTable1"/>
  </pivotTables>
  <data>
    <tabular pivotCacheId="1002482369">
      <items count="5">
        <i x="2" s="1"/>
        <i x="4"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eet4.Store_Region" xr10:uid="{A41C283C-9376-400A-966C-52775236ECBC}" sourceName="sheet4.Store Region">
  <pivotTables>
    <pivotTable tabId="21" name="PivotTable13"/>
    <pivotTable tabId="57" name="PivotTable4"/>
    <pivotTable tabId="58" name="PivotTable5"/>
    <pivotTable tabId="10" name="PivotTable2"/>
    <pivotTable tabId="22" name="PivotTable14"/>
    <pivotTable tabId="23" name="PivotTable15"/>
  </pivotTables>
  <data>
    <tabular pivotCacheId="1002482369">
      <items count="5">
        <i x="2" s="1"/>
        <i x="4" s="1"/>
        <i x="1"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eet4.Store_Name" xr10:uid="{AAF5F91D-7F59-4654-BEC3-2DBCF6B492D4}" sourceName="sheet4.Store Name">
  <pivotTables>
    <pivotTable tabId="21" name="PivotTable13"/>
    <pivotTable tabId="57" name="PivotTable4"/>
    <pivotTable tabId="58" name="PivotTable5"/>
    <pivotTable tabId="10" name="PivotTable2"/>
    <pivotTable tabId="22" name="PivotTable14"/>
    <pivotTable tabId="23" name="PivotTable15"/>
    <pivotTable tabId="24" name="PivotTable16"/>
    <pivotTable tabId="53" name="PivotTable2"/>
    <pivotTable tabId="26" name="PivotTable18"/>
    <pivotTable tabId="49" name="PivotTable41"/>
    <pivotTable tabId="60" name="PivotTable1"/>
  </pivotTables>
  <data>
    <tabular pivotCacheId="1002482369">
      <items count="110">
        <i x="35" s="1"/>
        <i x="38" s="1"/>
        <i x="106" s="1"/>
        <i x="39" s="1"/>
        <i x="99" s="1"/>
        <i x="93" s="1"/>
        <i x="107" s="1"/>
        <i x="60" s="1"/>
        <i x="34" s="1"/>
        <i x="98" s="1"/>
        <i x="40" s="1"/>
        <i x="92" s="1"/>
        <i x="108" s="1"/>
        <i x="94" s="1"/>
        <i x="76" s="1" nd="1"/>
        <i x="77" s="1" nd="1"/>
        <i x="73" s="1" nd="1"/>
        <i x="2" s="1" nd="1"/>
        <i x="33" s="1" nd="1"/>
        <i x="32" s="1" nd="1"/>
        <i x="27" s="1" nd="1"/>
        <i x="64" s="1" nd="1"/>
        <i x="50" s="1" nd="1"/>
        <i x="67" s="1" nd="1"/>
        <i x="16" s="1" nd="1"/>
        <i x="41" s="1" nd="1"/>
        <i x="75" s="1" nd="1"/>
        <i x="22" s="1" nd="1"/>
        <i x="59" s="1" nd="1"/>
        <i x="97" s="1" nd="1"/>
        <i x="52" s="1" nd="1"/>
        <i x="90" s="1" nd="1"/>
        <i x="80" s="1" nd="1"/>
        <i x="8" s="1" nd="1"/>
        <i x="61" s="1" nd="1"/>
        <i x="102" s="1" nd="1"/>
        <i x="20" s="1" nd="1"/>
        <i x="23" s="1" nd="1"/>
        <i x="11" s="1" nd="1"/>
        <i x="53" s="1" nd="1"/>
        <i x="83" s="1" nd="1"/>
        <i x="78" s="1" nd="1"/>
        <i x="5" s="1" nd="1"/>
        <i x="44" s="1" nd="1"/>
        <i x="96" s="1" nd="1"/>
        <i x="31" s="1" nd="1"/>
        <i x="15" s="1" nd="1"/>
        <i x="47" s="1" nd="1"/>
        <i x="105" s="1" nd="1"/>
        <i x="0" s="1" nd="1"/>
        <i x="82" s="1" nd="1"/>
        <i x="43" s="1" nd="1"/>
        <i x="9" s="1" nd="1"/>
        <i x="1" s="1" nd="1"/>
        <i x="18" s="1" nd="1"/>
        <i x="104" s="1" nd="1"/>
        <i x="84" s="1" nd="1"/>
        <i x="101" s="1" nd="1"/>
        <i x="55" s="1" nd="1"/>
        <i x="45" s="1" nd="1"/>
        <i x="46" s="1" nd="1"/>
        <i x="91" s="1" nd="1"/>
        <i x="63" s="1" nd="1"/>
        <i x="29" s="1" nd="1"/>
        <i x="42" s="1" nd="1"/>
        <i x="26" s="1" nd="1"/>
        <i x="36" s="1" nd="1"/>
        <i x="85" s="1" nd="1"/>
        <i x="79" s="1" nd="1"/>
        <i x="100" s="1" nd="1"/>
        <i x="95" s="1" nd="1"/>
        <i x="66" s="1" nd="1"/>
        <i x="7" s="1" nd="1"/>
        <i x="4" s="1" nd="1"/>
        <i x="30" s="1" nd="1"/>
        <i x="57" s="1" nd="1"/>
        <i x="69" s="1" nd="1"/>
        <i x="25" s="1" nd="1"/>
        <i x="70" s="1" nd="1"/>
        <i x="58" s="1" nd="1"/>
        <i x="74" s="1" nd="1"/>
        <i x="24" s="1" nd="1"/>
        <i x="14" s="1" nd="1"/>
        <i x="51" s="1" nd="1"/>
        <i x="89" s="1" nd="1"/>
        <i x="88" s="1" nd="1"/>
        <i x="65" s="1" nd="1"/>
        <i x="56" s="1" nd="1"/>
        <i x="13" s="1" nd="1"/>
        <i x="12" s="1" nd="1"/>
        <i x="87" s="1" nd="1"/>
        <i x="103" s="1" nd="1"/>
        <i x="86" s="1" nd="1"/>
        <i x="68" s="1" nd="1"/>
        <i x="37" s="1" nd="1"/>
        <i x="71" s="1" nd="1"/>
        <i x="62" s="1" nd="1"/>
        <i x="3" s="1" nd="1"/>
        <i x="10" s="1" nd="1"/>
        <i x="81" s="1" nd="1"/>
        <i x="49" s="1" nd="1"/>
        <i x="54" s="1" nd="1"/>
        <i x="72" s="1" nd="1"/>
        <i x="28" s="1" nd="1"/>
        <i x="6" s="1" nd="1"/>
        <i x="48" s="1" nd="1"/>
        <i x="19" s="1" nd="1"/>
        <i x="109" s="1" nd="1"/>
        <i x="17" s="1" nd="1"/>
        <i x="2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1" xr10:uid="{490F0210-9926-49AF-84DF-3B71D4BB4A9B}" cache="Slicer_Years__Date" caption="Years (Date)" rowHeight="241300"/>
  <slicer name="Quarters (Date) 1" xr10:uid="{D51A0F76-57B4-4D23-B5CF-02DADD988CCD}" cache="Slicer_Quarters__Date" caption="Quarters (Date)" rowHeight="241300"/>
  <slicer name="Months (Date) 1" xr10:uid="{CC3C2454-99F7-4D3B-BE35-8F270FE88010}" cache="Slicer_Months__Date" caption="Months (Date)" rowHeight="241300"/>
  <slicer name="sheet3.Cust Region 1" xr10:uid="{7E2F614F-50EF-4BB0-94EC-2AA940A1BA09}" cache="Slicer_sheet3.Cust_Region" caption="sheet3.Cust Region" rowHeight="241300"/>
  <slicer name="sheet4.Store Region 1" xr10:uid="{8B7C8276-7D52-4B83-8D83-36892EC0A0CB}" cache="Slicer_sheet4.Store_Region" caption="sheet4.Store Region" rowHeight="241300"/>
  <slicer name="sheet4.Store Name 1" xr10:uid="{99461316-BB35-4353-A179-27EBAE571EE4}" cache="Slicer_sheet4.Store_Name" caption="sheet4.Store Na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85601D4-4201-480E-AF0A-DE37DDC766C5}" name="sheet9" displayName="sheet9" ref="A1:W111" tableType="queryTable" totalsRowShown="0">
  <autoFilter ref="A1:W111" xr:uid="{285601D4-4201-480E-AF0A-DE37DDC766C5}"/>
  <tableColumns count="23">
    <tableColumn id="1" xr3:uid="{E810588F-43D8-4240-916C-0389908DDC65}" uniqueName="1" name="Order Number" queryTableFieldId="1"/>
    <tableColumn id="2" xr3:uid="{D84CC51F-F5D3-46D6-8440-BA6F5531DCCE}" uniqueName="2" name="Date" queryTableFieldId="2" dataDxfId="12"/>
    <tableColumn id="3" xr3:uid="{E148A342-C5D9-40D5-B89E-4C70AF27B488}" uniqueName="3" name="Quantity" queryTableFieldId="3"/>
    <tableColumn id="4" xr3:uid="{EDEB6FA2-FA72-4909-90D8-0B42FB4D92C4}" uniqueName="4" name="Cost" queryTableFieldId="4"/>
    <tableColumn id="5" xr3:uid="{8584672B-0B48-4B76-A141-1412E36133B3}" uniqueName="5" name="Price" queryTableFieldId="5"/>
    <tableColumn id="6" xr3:uid="{E89D8045-51FF-4DB7-8E44-AFDD4F692A9C}" uniqueName="6" name="Store Key" queryTableFieldId="6"/>
    <tableColumn id="7" xr3:uid="{F0031C46-3240-4663-BD95-50C7A2C80842}" uniqueName="7" name="Cust Key" queryTableFieldId="7"/>
    <tableColumn id="8" xr3:uid="{1C995B8F-BD71-4AE1-8BD3-CAA578DDA160}" uniqueName="8" name="sheet8.Product Key" queryTableFieldId="8"/>
    <tableColumn id="9" xr3:uid="{27E141DF-F0C5-4B87-8B9B-AE8AE6B66FE6}" uniqueName="9" name="sheet8.Sales Amount" queryTableFieldId="9"/>
    <tableColumn id="10" xr3:uid="{6BB9DE20-6A66-49EC-808D-E31492C3465F}" uniqueName="10" name="sheet8.Cost Amount" queryTableFieldId="10"/>
    <tableColumn id="11" xr3:uid="{23BB1B80-D8DA-42D0-BBC6-7DDD8838F072}" uniqueName="11" name="sheet6.Product Name" queryTableFieldId="11" dataDxfId="11"/>
    <tableColumn id="12" xr3:uid="{D4F45257-EFD1-4C92-9BC1-958E2B3B42CF}" uniqueName="12" name="sheet6.Product Type" queryTableFieldId="12" dataDxfId="10"/>
    <tableColumn id="13" xr3:uid="{080A2A4A-B9D8-427A-B8CE-4887D018BB2D}" uniqueName="13" name="sheet6.Quantity on Hand" queryTableFieldId="13"/>
    <tableColumn id="14" xr3:uid="{F6F88028-85C6-4BF0-B903-C88B1230265F}" uniqueName="14" name="sheet4.Store Name" queryTableFieldId="14" dataDxfId="9"/>
    <tableColumn id="15" xr3:uid="{A9DEB3E4-4C75-48A8-BFD1-BC108F375C60}" uniqueName="15" name="sheet4.Store Address" queryTableFieldId="15" dataDxfId="8"/>
    <tableColumn id="16" xr3:uid="{0C378AFE-E25B-4C5E-A1A4-9E32A91C8C8B}" uniqueName="16" name="sheet4.Store Region" queryTableFieldId="16" dataDxfId="7"/>
    <tableColumn id="17" xr3:uid="{0CA14B4C-050F-486A-AFA7-A827772E53E0}" uniqueName="17" name="sheet3.Cust Region" queryTableFieldId="17" dataDxfId="6"/>
    <tableColumn id="19" xr3:uid="{03923095-D6EE-46ED-8AA0-76106212D66D}" uniqueName="19" name="inventory value" queryTableFieldId="20" dataDxfId="5">
      <calculatedColumnFormula>sheet9[[#This Row],[sheet6.Quantity on Hand]]*sheet9[[#This Row],[Cost]]</calculatedColumnFormula>
    </tableColumn>
    <tableColumn id="22" xr3:uid="{FCCC8298-23F4-43BF-B277-677FA3800736}" uniqueName="22" name="inventory value2" queryTableFieldId="23" dataDxfId="4">
      <calculatedColumnFormula>sheet9[[#This Row],[Quantity]]*sheet9[[#This Row],[Cost]]</calculatedColumnFormula>
    </tableColumn>
    <tableColumn id="23" xr3:uid="{F24EBDE5-0422-48D4-B457-0D7E1AC3FD7F}" uniqueName="23" name="gross profit" queryTableFieldId="24" dataDxfId="3">
      <calculatedColumnFormula>sheet9[[#This Row],[sheet8.Sales Amount]]-sheet9[[#This Row],[sheet8.Cost Amount]]</calculatedColumnFormula>
    </tableColumn>
    <tableColumn id="24" xr3:uid="{06521265-7706-42DB-A96A-5287A9E0F970}" uniqueName="24" name="reorder level" queryTableFieldId="25" dataDxfId="2"/>
    <tableColumn id="25" xr3:uid="{0A74A433-DCDA-45F7-8DA1-99DB922B3DA5}" uniqueName="25" name="stock status" queryTableFieldId="26" dataDxfId="1">
      <calculatedColumnFormula>IF(C2=0,"out of stock",IF(C2&lt;U2,"under stock","over stock"))</calculatedColumnFormula>
    </tableColumn>
    <tableColumn id="18" xr3:uid="{5D4BE06B-B50E-424F-B123-EDC4F32B64DE}" uniqueName="18" name="profit margin" queryTableFieldId="27" dataDxfId="0">
      <calculatedColumnFormula>sheet9[[#This Row],[sheet8.Sales Amount]]-sheet9[[#This Row],[sheet8.Cost Amount]]/sheet9[[#This Row],[sheet8.Sales Amount]]*100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D9B68-BEF4-4206-852A-4DD74AC5CEB2}">
  <dimension ref="A1:Y111"/>
  <sheetViews>
    <sheetView zoomScale="75" zoomScaleNormal="70" workbookViewId="0">
      <selection activeCell="F6" sqref="F6"/>
    </sheetView>
  </sheetViews>
  <sheetFormatPr defaultRowHeight="14.5"/>
  <cols>
    <col min="1" max="1" width="16.26953125" bestFit="1" customWidth="1"/>
    <col min="2" max="2" width="15.54296875" bestFit="1" customWidth="1"/>
    <col min="3" max="3" width="11" bestFit="1" customWidth="1"/>
    <col min="4" max="4" width="12" bestFit="1" customWidth="1"/>
    <col min="5" max="5" width="7.7265625" bestFit="1" customWidth="1"/>
    <col min="6" max="6" width="11.7265625" bestFit="1" customWidth="1"/>
    <col min="7" max="7" width="10.81640625" bestFit="1" customWidth="1"/>
    <col min="8" max="8" width="20.7265625" bestFit="1" customWidth="1"/>
    <col min="9" max="9" width="22.26953125" bestFit="1" customWidth="1"/>
    <col min="10" max="10" width="21.54296875" bestFit="1" customWidth="1"/>
    <col min="11" max="11" width="81.1796875" bestFit="1" customWidth="1"/>
    <col min="12" max="12" width="21.7265625" bestFit="1" customWidth="1"/>
    <col min="13" max="13" width="25.7265625" bestFit="1" customWidth="1"/>
    <col min="14" max="14" width="21.7265625" bestFit="1" customWidth="1"/>
    <col min="15" max="15" width="27.26953125" bestFit="1" customWidth="1"/>
    <col min="16" max="16" width="21.453125" bestFit="1" customWidth="1"/>
    <col min="17" max="17" width="20.54296875" customWidth="1"/>
    <col min="18" max="18" width="18.54296875" customWidth="1"/>
    <col min="19" max="19" width="19.08984375" customWidth="1"/>
    <col min="20" max="20" width="13.7265625" customWidth="1"/>
    <col min="21" max="21" width="16.08984375" customWidth="1"/>
    <col min="22" max="22" width="14.54296875" customWidth="1"/>
    <col min="23" max="23" width="13.1796875" customWidth="1"/>
  </cols>
  <sheetData>
    <row r="1" spans="1:25">
      <c r="A1" t="s">
        <v>345</v>
      </c>
      <c r="B1" t="s">
        <v>0</v>
      </c>
      <c r="C1" t="s">
        <v>346</v>
      </c>
      <c r="D1" t="s">
        <v>347</v>
      </c>
      <c r="E1" t="s">
        <v>228</v>
      </c>
      <c r="F1" t="s">
        <v>7</v>
      </c>
      <c r="G1" t="s">
        <v>1</v>
      </c>
      <c r="H1" t="s">
        <v>348</v>
      </c>
      <c r="I1" t="s">
        <v>349</v>
      </c>
      <c r="J1" t="s">
        <v>350</v>
      </c>
      <c r="K1" t="s">
        <v>351</v>
      </c>
      <c r="L1" t="s">
        <v>352</v>
      </c>
      <c r="M1" t="s">
        <v>353</v>
      </c>
      <c r="N1" t="s">
        <v>354</v>
      </c>
      <c r="O1" t="s">
        <v>355</v>
      </c>
      <c r="P1" t="s">
        <v>356</v>
      </c>
      <c r="Q1" t="s">
        <v>357</v>
      </c>
      <c r="R1" t="s">
        <v>365</v>
      </c>
      <c r="S1" t="s">
        <v>368</v>
      </c>
      <c r="T1" t="s">
        <v>362</v>
      </c>
      <c r="U1" t="s">
        <v>369</v>
      </c>
      <c r="V1" t="s">
        <v>371</v>
      </c>
      <c r="W1" t="s">
        <v>377</v>
      </c>
    </row>
    <row r="2" spans="1:25">
      <c r="A2">
        <v>221423</v>
      </c>
      <c r="B2" s="1">
        <v>44952.822326388887</v>
      </c>
      <c r="C2">
        <v>5</v>
      </c>
      <c r="D2">
        <v>58.990909090909078</v>
      </c>
      <c r="E2">
        <v>91.5</v>
      </c>
      <c r="F2">
        <v>973</v>
      </c>
      <c r="G2">
        <v>1762</v>
      </c>
      <c r="H2">
        <v>131</v>
      </c>
      <c r="I2">
        <v>183</v>
      </c>
      <c r="J2">
        <v>39.333333332999999</v>
      </c>
      <c r="K2" t="s">
        <v>252</v>
      </c>
      <c r="L2" t="s">
        <v>249</v>
      </c>
      <c r="M2">
        <v>3</v>
      </c>
      <c r="N2" t="s">
        <v>110</v>
      </c>
      <c r="O2" t="s">
        <v>111</v>
      </c>
      <c r="P2" t="s">
        <v>3</v>
      </c>
      <c r="Q2" t="s">
        <v>3</v>
      </c>
      <c r="R2">
        <f>sheet9[[#This Row],[sheet6.Quantity on Hand]]*sheet9[[#This Row],[Cost]]</f>
        <v>176.97272727272724</v>
      </c>
      <c r="S2">
        <f>sheet9[[#This Row],[Quantity]]*sheet9[[#This Row],[Cost]]</f>
        <v>294.95454545454538</v>
      </c>
      <c r="T2">
        <f>sheet9[[#This Row],[sheet8.Sales Amount]]-sheet9[[#This Row],[sheet8.Cost Amount]]</f>
        <v>143.66666666700002</v>
      </c>
      <c r="U2">
        <v>2</v>
      </c>
      <c r="V2" t="str">
        <f t="shared" ref="V2:V33" si="0">IF(C2=0,"out of stock",IF(C2&lt;U2,"under stock","over stock"))</f>
        <v>over stock</v>
      </c>
      <c r="W2">
        <f>sheet9[[#This Row],[sheet8.Sales Amount]]-sheet9[[#This Row],[sheet8.Cost Amount]]/sheet9[[#This Row],[sheet8.Sales Amount]]*100</f>
        <v>161.50637522786886</v>
      </c>
      <c r="Y2" s="16"/>
    </row>
    <row r="3" spans="1:25">
      <c r="A3">
        <v>222051</v>
      </c>
      <c r="B3" s="1">
        <v>44580.365358796298</v>
      </c>
      <c r="C3">
        <v>1</v>
      </c>
      <c r="D3">
        <v>266.90909090909088</v>
      </c>
      <c r="E3">
        <v>414</v>
      </c>
      <c r="F3">
        <v>942</v>
      </c>
      <c r="G3">
        <v>1766</v>
      </c>
      <c r="H3">
        <v>424</v>
      </c>
      <c r="I3">
        <v>345</v>
      </c>
      <c r="J3">
        <v>111.22727273</v>
      </c>
      <c r="K3" t="s">
        <v>306</v>
      </c>
      <c r="L3" t="s">
        <v>268</v>
      </c>
      <c r="M3">
        <v>2</v>
      </c>
      <c r="N3" t="s">
        <v>26</v>
      </c>
      <c r="O3" t="s">
        <v>27</v>
      </c>
      <c r="P3" t="s">
        <v>4</v>
      </c>
      <c r="Q3" t="s">
        <v>4</v>
      </c>
      <c r="R3">
        <f>sheet9[[#This Row],[sheet6.Quantity on Hand]]*sheet9[[#This Row],[Cost]]</f>
        <v>533.81818181818176</v>
      </c>
      <c r="S3">
        <f>sheet9[[#This Row],[Quantity]]*sheet9[[#This Row],[Cost]]</f>
        <v>266.90909090909088</v>
      </c>
      <c r="T3">
        <f>sheet9[[#This Row],[sheet8.Sales Amount]]-sheet9[[#This Row],[sheet8.Cost Amount]]</f>
        <v>233.77272727000002</v>
      </c>
      <c r="U3">
        <v>2</v>
      </c>
      <c r="V3" t="str">
        <f t="shared" si="0"/>
        <v>under stock</v>
      </c>
      <c r="W3">
        <f>sheet9[[#This Row],[sheet8.Sales Amount]]-sheet9[[#This Row],[sheet8.Cost Amount]]/sheet9[[#This Row],[sheet8.Sales Amount]]*100</f>
        <v>312.76021080289854</v>
      </c>
    </row>
    <row r="4" spans="1:25">
      <c r="A4">
        <v>221889</v>
      </c>
      <c r="B4" s="1">
        <v>44957.508310185185</v>
      </c>
      <c r="C4">
        <v>2</v>
      </c>
      <c r="D4">
        <v>77.363636363636346</v>
      </c>
      <c r="E4">
        <v>120</v>
      </c>
      <c r="F4">
        <v>949</v>
      </c>
      <c r="G4">
        <v>1765</v>
      </c>
      <c r="H4">
        <v>8</v>
      </c>
      <c r="I4">
        <v>345</v>
      </c>
      <c r="J4">
        <v>266.94545455000002</v>
      </c>
      <c r="K4" t="s">
        <v>231</v>
      </c>
      <c r="L4" t="s">
        <v>229</v>
      </c>
      <c r="M4">
        <v>2</v>
      </c>
      <c r="N4" t="s">
        <v>186</v>
      </c>
      <c r="O4" t="s">
        <v>187</v>
      </c>
      <c r="P4" t="s">
        <v>6</v>
      </c>
      <c r="Q4" t="s">
        <v>6</v>
      </c>
      <c r="R4">
        <f>sheet9[[#This Row],[sheet6.Quantity on Hand]]*sheet9[[#This Row],[Cost]]</f>
        <v>154.72727272727269</v>
      </c>
      <c r="S4">
        <f>sheet9[[#This Row],[Quantity]]*sheet9[[#This Row],[Cost]]</f>
        <v>154.72727272727269</v>
      </c>
      <c r="T4">
        <f>sheet9[[#This Row],[sheet8.Sales Amount]]-sheet9[[#This Row],[sheet8.Cost Amount]]</f>
        <v>78.054545449999978</v>
      </c>
      <c r="U4">
        <v>2</v>
      </c>
      <c r="V4" t="str">
        <f t="shared" si="0"/>
        <v>over stock</v>
      </c>
      <c r="W4">
        <f>sheet9[[#This Row],[sheet8.Sales Amount]]-sheet9[[#This Row],[sheet8.Cost Amount]]/sheet9[[#This Row],[sheet8.Sales Amount]]*100</f>
        <v>267.62450592753623</v>
      </c>
    </row>
    <row r="5" spans="1:25">
      <c r="A5">
        <v>218497</v>
      </c>
      <c r="B5" s="1">
        <v>44589.562986111108</v>
      </c>
      <c r="C5">
        <v>1</v>
      </c>
      <c r="D5">
        <v>74.181818181818173</v>
      </c>
      <c r="E5">
        <v>115</v>
      </c>
      <c r="F5">
        <v>819</v>
      </c>
      <c r="G5">
        <v>1737</v>
      </c>
      <c r="H5">
        <v>9</v>
      </c>
      <c r="I5">
        <v>109.5</v>
      </c>
      <c r="J5">
        <v>84.763636364000007</v>
      </c>
      <c r="K5" t="s">
        <v>232</v>
      </c>
      <c r="L5" t="s">
        <v>229</v>
      </c>
      <c r="M5">
        <v>1</v>
      </c>
      <c r="N5" t="s">
        <v>206</v>
      </c>
      <c r="O5" t="s">
        <v>207</v>
      </c>
      <c r="P5" t="s">
        <v>4</v>
      </c>
      <c r="Q5" t="s">
        <v>4</v>
      </c>
      <c r="R5">
        <f>sheet9[[#This Row],[sheet6.Quantity on Hand]]*sheet9[[#This Row],[Cost]]</f>
        <v>74.181818181818173</v>
      </c>
      <c r="S5">
        <f>sheet9[[#This Row],[Quantity]]*sheet9[[#This Row],[Cost]]</f>
        <v>74.181818181818173</v>
      </c>
      <c r="T5">
        <f>sheet9[[#This Row],[sheet8.Sales Amount]]-sheet9[[#This Row],[sheet8.Cost Amount]]</f>
        <v>24.736363635999993</v>
      </c>
      <c r="U5">
        <v>2</v>
      </c>
      <c r="V5" t="str">
        <f t="shared" si="0"/>
        <v>under stock</v>
      </c>
      <c r="W5">
        <f>sheet9[[#This Row],[sheet8.Sales Amount]]-sheet9[[#This Row],[sheet8.Cost Amount]]/sheet9[[#This Row],[sheet8.Sales Amount]]*100</f>
        <v>32.090286425570767</v>
      </c>
    </row>
    <row r="6" spans="1:25">
      <c r="A6">
        <v>218227</v>
      </c>
      <c r="B6" s="1">
        <v>44220.032210648147</v>
      </c>
      <c r="C6">
        <v>3</v>
      </c>
      <c r="D6">
        <v>84.727272727272705</v>
      </c>
      <c r="E6">
        <v>109.5</v>
      </c>
      <c r="F6">
        <v>27</v>
      </c>
      <c r="G6">
        <v>1736</v>
      </c>
      <c r="H6">
        <v>33</v>
      </c>
      <c r="I6">
        <v>328.5</v>
      </c>
      <c r="J6">
        <v>254.18181817999999</v>
      </c>
      <c r="K6" t="s">
        <v>234</v>
      </c>
      <c r="L6" t="s">
        <v>229</v>
      </c>
      <c r="M6">
        <v>3</v>
      </c>
      <c r="N6" t="s">
        <v>72</v>
      </c>
      <c r="O6" t="s">
        <v>73</v>
      </c>
      <c r="P6" t="s">
        <v>2</v>
      </c>
      <c r="Q6" t="s">
        <v>2</v>
      </c>
      <c r="R6">
        <f>sheet9[[#This Row],[sheet6.Quantity on Hand]]*sheet9[[#This Row],[Cost]]</f>
        <v>254.18181818181813</v>
      </c>
      <c r="S6">
        <f>sheet9[[#This Row],[Quantity]]*sheet9[[#This Row],[Cost]]</f>
        <v>254.18181818181813</v>
      </c>
      <c r="T6">
        <f>sheet9[[#This Row],[sheet8.Sales Amount]]-sheet9[[#This Row],[sheet8.Cost Amount]]</f>
        <v>74.318181820000007</v>
      </c>
      <c r="U6">
        <v>2</v>
      </c>
      <c r="V6" t="str">
        <f t="shared" si="0"/>
        <v>over stock</v>
      </c>
      <c r="W6">
        <f>sheet9[[#This Row],[sheet8.Sales Amount]]-sheet9[[#This Row],[sheet8.Cost Amount]]/sheet9[[#This Row],[sheet8.Sales Amount]]*100</f>
        <v>251.12349522678844</v>
      </c>
      <c r="Y6" s="16" t="s">
        <v>380</v>
      </c>
    </row>
    <row r="7" spans="1:25">
      <c r="A7">
        <v>217957</v>
      </c>
      <c r="B7" s="1">
        <v>43858.600497685184</v>
      </c>
      <c r="C7">
        <v>2</v>
      </c>
      <c r="D7">
        <v>137.72727272727269</v>
      </c>
      <c r="E7">
        <v>178</v>
      </c>
      <c r="F7">
        <v>617</v>
      </c>
      <c r="G7">
        <v>1735</v>
      </c>
      <c r="H7">
        <v>23</v>
      </c>
      <c r="I7">
        <v>345</v>
      </c>
      <c r="J7">
        <v>266.94545455000002</v>
      </c>
      <c r="K7" t="s">
        <v>233</v>
      </c>
      <c r="L7" t="s">
        <v>229</v>
      </c>
      <c r="M7">
        <v>3</v>
      </c>
      <c r="N7" t="s">
        <v>78</v>
      </c>
      <c r="O7" t="s">
        <v>79</v>
      </c>
      <c r="P7" t="s">
        <v>4</v>
      </c>
      <c r="Q7" t="s">
        <v>4</v>
      </c>
      <c r="R7">
        <f>sheet9[[#This Row],[sheet6.Quantity on Hand]]*sheet9[[#This Row],[Cost]]</f>
        <v>413.18181818181807</v>
      </c>
      <c r="S7">
        <f>sheet9[[#This Row],[Quantity]]*sheet9[[#This Row],[Cost]]</f>
        <v>275.45454545454538</v>
      </c>
      <c r="T7">
        <f>sheet9[[#This Row],[sheet8.Sales Amount]]-sheet9[[#This Row],[sheet8.Cost Amount]]</f>
        <v>78.054545449999978</v>
      </c>
      <c r="U7">
        <v>2</v>
      </c>
      <c r="V7" t="str">
        <f t="shared" si="0"/>
        <v>over stock</v>
      </c>
      <c r="W7">
        <f>sheet9[[#This Row],[sheet8.Sales Amount]]-sheet9[[#This Row],[sheet8.Cost Amount]]/sheet9[[#This Row],[sheet8.Sales Amount]]*100</f>
        <v>267.62450592753623</v>
      </c>
    </row>
    <row r="8" spans="1:25">
      <c r="A8">
        <v>222267</v>
      </c>
      <c r="B8" s="1">
        <v>44581.158761574072</v>
      </c>
      <c r="C8">
        <v>3</v>
      </c>
      <c r="D8">
        <v>33.515151515151508</v>
      </c>
      <c r="E8">
        <v>52</v>
      </c>
      <c r="F8">
        <v>531</v>
      </c>
      <c r="G8">
        <v>1767</v>
      </c>
      <c r="H8">
        <v>1096</v>
      </c>
      <c r="I8">
        <v>1195.5</v>
      </c>
      <c r="J8">
        <v>847.9</v>
      </c>
      <c r="K8" t="s">
        <v>344</v>
      </c>
      <c r="L8" t="s">
        <v>323</v>
      </c>
      <c r="M8">
        <v>2</v>
      </c>
      <c r="N8" t="s">
        <v>216</v>
      </c>
      <c r="O8" t="s">
        <v>217</v>
      </c>
      <c r="P8" t="s">
        <v>6</v>
      </c>
      <c r="Q8" t="s">
        <v>6</v>
      </c>
      <c r="R8">
        <f>sheet9[[#This Row],[sheet6.Quantity on Hand]]*sheet9[[#This Row],[Cost]]</f>
        <v>67.030303030303017</v>
      </c>
      <c r="S8">
        <f>sheet9[[#This Row],[Quantity]]*sheet9[[#This Row],[Cost]]</f>
        <v>100.54545454545453</v>
      </c>
      <c r="T8">
        <f>sheet9[[#This Row],[sheet8.Sales Amount]]-sheet9[[#This Row],[sheet8.Cost Amount]]</f>
        <v>347.6</v>
      </c>
      <c r="U8">
        <v>2</v>
      </c>
      <c r="V8" t="str">
        <f t="shared" si="0"/>
        <v>over stock</v>
      </c>
      <c r="W8">
        <f>sheet9[[#This Row],[sheet8.Sales Amount]]-sheet9[[#This Row],[sheet8.Cost Amount]]/sheet9[[#This Row],[sheet8.Sales Amount]]*100</f>
        <v>1124.5757005437056</v>
      </c>
    </row>
    <row r="9" spans="1:25">
      <c r="A9">
        <v>218677</v>
      </c>
      <c r="B9" s="1">
        <v>44217.217118055552</v>
      </c>
      <c r="C9">
        <v>3</v>
      </c>
      <c r="D9">
        <v>37.075757575757571</v>
      </c>
      <c r="E9">
        <v>115</v>
      </c>
      <c r="F9">
        <v>898</v>
      </c>
      <c r="G9">
        <v>1739</v>
      </c>
      <c r="H9">
        <v>37</v>
      </c>
      <c r="I9">
        <v>298.5</v>
      </c>
      <c r="J9">
        <v>230.94545454999999</v>
      </c>
      <c r="K9" t="s">
        <v>235</v>
      </c>
      <c r="L9" t="s">
        <v>229</v>
      </c>
      <c r="M9">
        <v>1</v>
      </c>
      <c r="N9" t="s">
        <v>166</v>
      </c>
      <c r="O9" t="s">
        <v>167</v>
      </c>
      <c r="P9" t="s">
        <v>6</v>
      </c>
      <c r="Q9" t="s">
        <v>3</v>
      </c>
      <c r="R9">
        <f>sheet9[[#This Row],[sheet6.Quantity on Hand]]*sheet9[[#This Row],[Cost]]</f>
        <v>37.075757575757571</v>
      </c>
      <c r="S9">
        <f>sheet9[[#This Row],[Quantity]]*sheet9[[#This Row],[Cost]]</f>
        <v>111.22727272727272</v>
      </c>
      <c r="T9">
        <f>sheet9[[#This Row],[sheet8.Sales Amount]]-sheet9[[#This Row],[sheet8.Cost Amount]]</f>
        <v>67.554545450000006</v>
      </c>
      <c r="U9">
        <v>2</v>
      </c>
      <c r="V9" t="str">
        <f t="shared" si="0"/>
        <v>over stock</v>
      </c>
      <c r="W9">
        <f>sheet9[[#This Row],[sheet8.Sales Amount]]-sheet9[[#This Row],[sheet8.Cost Amount]]/sheet9[[#This Row],[sheet8.Sales Amount]]*100</f>
        <v>221.13133850921272</v>
      </c>
    </row>
    <row r="10" spans="1:25">
      <c r="A10">
        <v>217524</v>
      </c>
      <c r="B10" s="1">
        <v>43859.032800925925</v>
      </c>
      <c r="C10">
        <v>1</v>
      </c>
      <c r="D10">
        <v>36.72727272727272</v>
      </c>
      <c r="E10">
        <v>57</v>
      </c>
      <c r="F10">
        <v>199</v>
      </c>
      <c r="G10">
        <v>1732</v>
      </c>
      <c r="H10">
        <v>54</v>
      </c>
      <c r="I10">
        <v>549</v>
      </c>
      <c r="J10">
        <v>354</v>
      </c>
      <c r="K10" t="s">
        <v>239</v>
      </c>
      <c r="L10" t="s">
        <v>237</v>
      </c>
      <c r="M10">
        <v>2</v>
      </c>
      <c r="N10" t="s">
        <v>176</v>
      </c>
      <c r="O10" t="s">
        <v>177</v>
      </c>
      <c r="P10" t="s">
        <v>2</v>
      </c>
      <c r="Q10" t="s">
        <v>2</v>
      </c>
      <c r="R10">
        <f>sheet9[[#This Row],[sheet6.Quantity on Hand]]*sheet9[[#This Row],[Cost]]</f>
        <v>73.454545454545439</v>
      </c>
      <c r="S10">
        <f>sheet9[[#This Row],[Quantity]]*sheet9[[#This Row],[Cost]]</f>
        <v>36.72727272727272</v>
      </c>
      <c r="T10">
        <f>sheet9[[#This Row],[sheet8.Sales Amount]]-sheet9[[#This Row],[sheet8.Cost Amount]]</f>
        <v>195</v>
      </c>
      <c r="U10">
        <v>2</v>
      </c>
      <c r="V10" t="str">
        <f t="shared" si="0"/>
        <v>under stock</v>
      </c>
      <c r="W10">
        <f>sheet9[[#This Row],[sheet8.Sales Amount]]-sheet9[[#This Row],[sheet8.Cost Amount]]/sheet9[[#This Row],[sheet8.Sales Amount]]*100</f>
        <v>484.51912568306011</v>
      </c>
    </row>
    <row r="11" spans="1:25">
      <c r="A11">
        <v>218773</v>
      </c>
      <c r="B11" s="1">
        <v>43843.276678240742</v>
      </c>
      <c r="C11">
        <v>2</v>
      </c>
      <c r="D11">
        <v>233.09090909090909</v>
      </c>
      <c r="E11">
        <v>361.5</v>
      </c>
      <c r="F11">
        <v>594</v>
      </c>
      <c r="G11">
        <v>1741</v>
      </c>
      <c r="H11">
        <v>1075</v>
      </c>
      <c r="I11">
        <v>171</v>
      </c>
      <c r="J11">
        <v>121.3</v>
      </c>
      <c r="K11" t="s">
        <v>339</v>
      </c>
      <c r="L11" t="s">
        <v>323</v>
      </c>
      <c r="M11">
        <v>3</v>
      </c>
      <c r="N11" t="s">
        <v>168</v>
      </c>
      <c r="O11" t="s">
        <v>169</v>
      </c>
      <c r="P11" t="s">
        <v>2</v>
      </c>
      <c r="Q11" t="s">
        <v>2</v>
      </c>
      <c r="R11">
        <f>sheet9[[#This Row],[sheet6.Quantity on Hand]]*sheet9[[#This Row],[Cost]]</f>
        <v>699.27272727272725</v>
      </c>
      <c r="S11">
        <f>sheet9[[#This Row],[Quantity]]*sheet9[[#This Row],[Cost]]</f>
        <v>466.18181818181819</v>
      </c>
      <c r="T11">
        <f>sheet9[[#This Row],[sheet8.Sales Amount]]-sheet9[[#This Row],[sheet8.Cost Amount]]</f>
        <v>49.7</v>
      </c>
      <c r="U11">
        <v>2</v>
      </c>
      <c r="V11" t="str">
        <f t="shared" si="0"/>
        <v>over stock</v>
      </c>
      <c r="W11">
        <f>sheet9[[#This Row],[sheet8.Sales Amount]]-sheet9[[#This Row],[sheet8.Cost Amount]]/sheet9[[#This Row],[sheet8.Sales Amount]]*100</f>
        <v>100.06432748538012</v>
      </c>
    </row>
    <row r="12" spans="1:25">
      <c r="A12">
        <v>217676</v>
      </c>
      <c r="B12" s="1">
        <v>44946.89266203704</v>
      </c>
      <c r="C12">
        <v>3</v>
      </c>
      <c r="D12">
        <v>233.06060606060601</v>
      </c>
      <c r="E12">
        <v>361.5</v>
      </c>
      <c r="F12">
        <v>866</v>
      </c>
      <c r="G12">
        <v>1733</v>
      </c>
      <c r="H12">
        <v>501</v>
      </c>
      <c r="I12">
        <v>240</v>
      </c>
      <c r="J12">
        <v>110.51948052</v>
      </c>
      <c r="K12" t="s">
        <v>311</v>
      </c>
      <c r="L12" t="s">
        <v>310</v>
      </c>
      <c r="M12">
        <v>3</v>
      </c>
      <c r="N12" t="s">
        <v>134</v>
      </c>
      <c r="O12" t="s">
        <v>135</v>
      </c>
      <c r="P12" t="s">
        <v>2</v>
      </c>
      <c r="Q12" t="s">
        <v>2</v>
      </c>
      <c r="R12">
        <f>sheet9[[#This Row],[sheet6.Quantity on Hand]]*sheet9[[#This Row],[Cost]]</f>
        <v>699.18181818181802</v>
      </c>
      <c r="S12">
        <f>sheet9[[#This Row],[Quantity]]*sheet9[[#This Row],[Cost]]</f>
        <v>699.18181818181802</v>
      </c>
      <c r="T12">
        <f>sheet9[[#This Row],[sheet8.Sales Amount]]-sheet9[[#This Row],[sheet8.Cost Amount]]</f>
        <v>129.48051948</v>
      </c>
      <c r="U12">
        <v>2</v>
      </c>
      <c r="V12" t="str">
        <f t="shared" si="0"/>
        <v>over stock</v>
      </c>
      <c r="W12">
        <f>sheet9[[#This Row],[sheet8.Sales Amount]]-sheet9[[#This Row],[sheet8.Cost Amount]]/sheet9[[#This Row],[sheet8.Sales Amount]]*100</f>
        <v>193.95021645</v>
      </c>
    </row>
    <row r="13" spans="1:25">
      <c r="A13">
        <v>217736</v>
      </c>
      <c r="B13" s="1">
        <v>43840.897986111115</v>
      </c>
      <c r="C13">
        <v>2</v>
      </c>
      <c r="D13">
        <v>84.285714285714292</v>
      </c>
      <c r="E13">
        <v>183</v>
      </c>
      <c r="F13">
        <v>247</v>
      </c>
      <c r="G13">
        <v>1734</v>
      </c>
      <c r="H13">
        <v>703</v>
      </c>
      <c r="I13">
        <v>681</v>
      </c>
      <c r="J13">
        <v>219.54545454999999</v>
      </c>
      <c r="K13" t="s">
        <v>315</v>
      </c>
      <c r="L13" t="s">
        <v>268</v>
      </c>
      <c r="M13">
        <v>3</v>
      </c>
      <c r="N13" t="s">
        <v>126</v>
      </c>
      <c r="O13" t="s">
        <v>127</v>
      </c>
      <c r="P13" t="s">
        <v>4</v>
      </c>
      <c r="Q13" t="s">
        <v>4</v>
      </c>
      <c r="R13">
        <f>sheet9[[#This Row],[sheet6.Quantity on Hand]]*sheet9[[#This Row],[Cost]]</f>
        <v>252.85714285714289</v>
      </c>
      <c r="S13">
        <f>sheet9[[#This Row],[Quantity]]*sheet9[[#This Row],[Cost]]</f>
        <v>168.57142857142858</v>
      </c>
      <c r="T13">
        <f>sheet9[[#This Row],[sheet8.Sales Amount]]-sheet9[[#This Row],[sheet8.Cost Amount]]</f>
        <v>461.45454545000001</v>
      </c>
      <c r="U13">
        <v>2</v>
      </c>
      <c r="V13" t="str">
        <f t="shared" si="0"/>
        <v>over stock</v>
      </c>
      <c r="W13">
        <f>sheet9[[#This Row],[sheet8.Sales Amount]]-sheet9[[#This Row],[sheet8.Cost Amount]]/sheet9[[#This Row],[sheet8.Sales Amount]]*100</f>
        <v>648.76131357562406</v>
      </c>
    </row>
    <row r="14" spans="1:25">
      <c r="A14">
        <v>218992</v>
      </c>
      <c r="B14" s="1">
        <v>43846.242696759262</v>
      </c>
      <c r="C14">
        <v>1</v>
      </c>
      <c r="D14">
        <v>77.363636363636346</v>
      </c>
      <c r="E14">
        <v>120</v>
      </c>
      <c r="F14">
        <v>443</v>
      </c>
      <c r="G14">
        <v>1742</v>
      </c>
      <c r="H14">
        <v>1030</v>
      </c>
      <c r="I14">
        <v>597</v>
      </c>
      <c r="J14">
        <v>423.4</v>
      </c>
      <c r="K14" t="s">
        <v>326</v>
      </c>
      <c r="L14" t="s">
        <v>323</v>
      </c>
      <c r="M14">
        <v>2</v>
      </c>
      <c r="N14" t="s">
        <v>94</v>
      </c>
      <c r="O14" t="s">
        <v>95</v>
      </c>
      <c r="P14" t="s">
        <v>2</v>
      </c>
      <c r="Q14" t="s">
        <v>2</v>
      </c>
      <c r="R14">
        <f>sheet9[[#This Row],[sheet6.Quantity on Hand]]*sheet9[[#This Row],[Cost]]</f>
        <v>154.72727272727269</v>
      </c>
      <c r="S14">
        <f>sheet9[[#This Row],[Quantity]]*sheet9[[#This Row],[Cost]]</f>
        <v>77.363636363636346</v>
      </c>
      <c r="T14">
        <f>sheet9[[#This Row],[sheet8.Sales Amount]]-sheet9[[#This Row],[sheet8.Cost Amount]]</f>
        <v>173.60000000000002</v>
      </c>
      <c r="U14">
        <v>2</v>
      </c>
      <c r="V14" t="str">
        <f t="shared" si="0"/>
        <v>under stock</v>
      </c>
      <c r="W14">
        <f>sheet9[[#This Row],[sheet8.Sales Amount]]-sheet9[[#This Row],[sheet8.Cost Amount]]/sheet9[[#This Row],[sheet8.Sales Amount]]*100</f>
        <v>526.07872696817424</v>
      </c>
    </row>
    <row r="15" spans="1:25">
      <c r="A15">
        <v>219440</v>
      </c>
      <c r="B15" s="1">
        <v>43864.933877314812</v>
      </c>
      <c r="C15">
        <v>2</v>
      </c>
      <c r="D15">
        <v>40.318181818181813</v>
      </c>
      <c r="E15">
        <v>62.5</v>
      </c>
      <c r="F15">
        <v>36</v>
      </c>
      <c r="G15">
        <v>1745</v>
      </c>
      <c r="H15">
        <v>1056</v>
      </c>
      <c r="I15">
        <v>1054.5</v>
      </c>
      <c r="J15">
        <v>747.9</v>
      </c>
      <c r="K15" t="s">
        <v>328</v>
      </c>
      <c r="L15" t="s">
        <v>323</v>
      </c>
      <c r="M15">
        <v>2</v>
      </c>
      <c r="N15" t="s">
        <v>14</v>
      </c>
      <c r="O15" t="s">
        <v>15</v>
      </c>
      <c r="P15" t="s">
        <v>4</v>
      </c>
      <c r="Q15" t="s">
        <v>4</v>
      </c>
      <c r="R15">
        <f>sheet9[[#This Row],[sheet6.Quantity on Hand]]*sheet9[[#This Row],[Cost]]</f>
        <v>80.636363636363626</v>
      </c>
      <c r="S15">
        <f>sheet9[[#This Row],[Quantity]]*sheet9[[#This Row],[Cost]]</f>
        <v>80.636363636363626</v>
      </c>
      <c r="T15">
        <f>sheet9[[#This Row],[sheet8.Sales Amount]]-sheet9[[#This Row],[sheet8.Cost Amount]]</f>
        <v>306.60000000000002</v>
      </c>
      <c r="U15">
        <v>2</v>
      </c>
      <c r="V15" t="str">
        <f t="shared" si="0"/>
        <v>over stock</v>
      </c>
      <c r="W15">
        <f>sheet9[[#This Row],[sheet8.Sales Amount]]-sheet9[[#This Row],[sheet8.Cost Amount]]/sheet9[[#This Row],[sheet8.Sales Amount]]*100</f>
        <v>983.57539118065438</v>
      </c>
    </row>
    <row r="16" spans="1:25">
      <c r="A16">
        <v>217410</v>
      </c>
      <c r="B16" s="1">
        <v>44576.516539351855</v>
      </c>
      <c r="C16">
        <v>1</v>
      </c>
      <c r="D16">
        <v>148.6363636363636</v>
      </c>
      <c r="E16">
        <v>230.5</v>
      </c>
      <c r="F16">
        <v>184</v>
      </c>
      <c r="G16">
        <v>1731</v>
      </c>
      <c r="H16">
        <v>1089</v>
      </c>
      <c r="I16">
        <v>503</v>
      </c>
      <c r="J16">
        <v>356.7</v>
      </c>
      <c r="K16" t="s">
        <v>342</v>
      </c>
      <c r="L16" t="s">
        <v>323</v>
      </c>
      <c r="M16">
        <v>3</v>
      </c>
      <c r="N16" t="s">
        <v>22</v>
      </c>
      <c r="O16" t="s">
        <v>23</v>
      </c>
      <c r="P16" t="s">
        <v>5</v>
      </c>
      <c r="Q16" t="s">
        <v>5</v>
      </c>
      <c r="R16">
        <f>sheet9[[#This Row],[sheet6.Quantity on Hand]]*sheet9[[#This Row],[Cost]]</f>
        <v>445.90909090909076</v>
      </c>
      <c r="S16">
        <f>sheet9[[#This Row],[Quantity]]*sheet9[[#This Row],[Cost]]</f>
        <v>148.6363636363636</v>
      </c>
      <c r="T16">
        <f>sheet9[[#This Row],[sheet8.Sales Amount]]-sheet9[[#This Row],[sheet8.Cost Amount]]</f>
        <v>146.30000000000001</v>
      </c>
      <c r="U16">
        <v>2</v>
      </c>
      <c r="V16" t="str">
        <f t="shared" si="0"/>
        <v>under stock</v>
      </c>
      <c r="W16">
        <f>sheet9[[#This Row],[sheet8.Sales Amount]]-sheet9[[#This Row],[sheet8.Cost Amount]]/sheet9[[#This Row],[sheet8.Sales Amount]]*100</f>
        <v>432.08548707753482</v>
      </c>
    </row>
    <row r="17" spans="1:23">
      <c r="A17">
        <v>220103</v>
      </c>
      <c r="B17" s="1">
        <v>44575.496006944442</v>
      </c>
      <c r="C17">
        <v>3</v>
      </c>
      <c r="D17">
        <v>287.24242424242419</v>
      </c>
      <c r="E17">
        <v>445.5</v>
      </c>
      <c r="F17">
        <v>409</v>
      </c>
      <c r="G17">
        <v>1748</v>
      </c>
      <c r="H17">
        <v>1060</v>
      </c>
      <c r="I17">
        <v>198</v>
      </c>
      <c r="J17">
        <v>140.4</v>
      </c>
      <c r="K17" t="s">
        <v>329</v>
      </c>
      <c r="L17" t="s">
        <v>323</v>
      </c>
      <c r="M17">
        <v>2</v>
      </c>
      <c r="N17" t="s">
        <v>212</v>
      </c>
      <c r="O17" t="s">
        <v>213</v>
      </c>
      <c r="P17" t="s">
        <v>2</v>
      </c>
      <c r="Q17" t="s">
        <v>2</v>
      </c>
      <c r="R17">
        <f>sheet9[[#This Row],[sheet6.Quantity on Hand]]*sheet9[[#This Row],[Cost]]</f>
        <v>574.48484848484838</v>
      </c>
      <c r="S17">
        <f>sheet9[[#This Row],[Quantity]]*sheet9[[#This Row],[Cost]]</f>
        <v>861.72727272727252</v>
      </c>
      <c r="T17">
        <f>sheet9[[#This Row],[sheet8.Sales Amount]]-sheet9[[#This Row],[sheet8.Cost Amount]]</f>
        <v>57.599999999999994</v>
      </c>
      <c r="U17">
        <v>2</v>
      </c>
      <c r="V17" t="str">
        <f t="shared" si="0"/>
        <v>over stock</v>
      </c>
      <c r="W17">
        <f>sheet9[[#This Row],[sheet8.Sales Amount]]-sheet9[[#This Row],[sheet8.Cost Amount]]/sheet9[[#This Row],[sheet8.Sales Amount]]*100</f>
        <v>127.09090909090909</v>
      </c>
    </row>
    <row r="18" spans="1:23">
      <c r="A18">
        <v>220259</v>
      </c>
      <c r="B18" s="1">
        <v>44963.887187499997</v>
      </c>
      <c r="C18">
        <v>5</v>
      </c>
      <c r="D18">
        <v>75.374774774774778</v>
      </c>
      <c r="E18">
        <v>107.25</v>
      </c>
      <c r="F18">
        <v>858</v>
      </c>
      <c r="G18">
        <v>1750</v>
      </c>
      <c r="H18">
        <v>1079</v>
      </c>
      <c r="I18">
        <v>120</v>
      </c>
      <c r="J18">
        <v>84.333333332999999</v>
      </c>
      <c r="K18" t="s">
        <v>332</v>
      </c>
      <c r="L18" t="s">
        <v>323</v>
      </c>
      <c r="M18">
        <v>3</v>
      </c>
      <c r="N18" t="s">
        <v>44</v>
      </c>
      <c r="O18" t="s">
        <v>45</v>
      </c>
      <c r="P18" t="s">
        <v>3</v>
      </c>
      <c r="Q18" t="s">
        <v>3</v>
      </c>
      <c r="R18">
        <f>sheet9[[#This Row],[sheet6.Quantity on Hand]]*sheet9[[#This Row],[Cost]]</f>
        <v>226.12432432432433</v>
      </c>
      <c r="S18">
        <f>sheet9[[#This Row],[Quantity]]*sheet9[[#This Row],[Cost]]</f>
        <v>376.87387387387389</v>
      </c>
      <c r="T18">
        <f>sheet9[[#This Row],[sheet8.Sales Amount]]-sheet9[[#This Row],[sheet8.Cost Amount]]</f>
        <v>35.666666667000001</v>
      </c>
      <c r="U18">
        <v>2</v>
      </c>
      <c r="V18" t="str">
        <f t="shared" si="0"/>
        <v>over stock</v>
      </c>
      <c r="W18">
        <f>sheet9[[#This Row],[sheet8.Sales Amount]]-sheet9[[#This Row],[sheet8.Cost Amount]]/sheet9[[#This Row],[sheet8.Sales Amount]]*100</f>
        <v>49.722222222500008</v>
      </c>
    </row>
    <row r="19" spans="1:23">
      <c r="A19">
        <v>220316</v>
      </c>
      <c r="B19" s="1">
        <v>43840.627164351848</v>
      </c>
      <c r="C19">
        <v>5</v>
      </c>
      <c r="D19">
        <v>54</v>
      </c>
      <c r="E19">
        <v>83.75</v>
      </c>
      <c r="F19">
        <v>500</v>
      </c>
      <c r="G19">
        <v>1751</v>
      </c>
      <c r="H19">
        <v>1064</v>
      </c>
      <c r="I19">
        <v>120</v>
      </c>
      <c r="J19">
        <v>85.1</v>
      </c>
      <c r="K19" t="s">
        <v>337</v>
      </c>
      <c r="L19" t="s">
        <v>323</v>
      </c>
      <c r="M19">
        <v>2</v>
      </c>
      <c r="N19" t="s">
        <v>86</v>
      </c>
      <c r="O19" t="s">
        <v>87</v>
      </c>
      <c r="P19" t="s">
        <v>3</v>
      </c>
      <c r="Q19" t="s">
        <v>3</v>
      </c>
      <c r="R19">
        <f>sheet9[[#This Row],[sheet6.Quantity on Hand]]*sheet9[[#This Row],[Cost]]</f>
        <v>108</v>
      </c>
      <c r="S19">
        <f>sheet9[[#This Row],[Quantity]]*sheet9[[#This Row],[Cost]]</f>
        <v>270</v>
      </c>
      <c r="T19">
        <f>sheet9[[#This Row],[sheet8.Sales Amount]]-sheet9[[#This Row],[sheet8.Cost Amount]]</f>
        <v>34.900000000000006</v>
      </c>
      <c r="U19">
        <v>2</v>
      </c>
      <c r="V19" t="str">
        <f t="shared" si="0"/>
        <v>over stock</v>
      </c>
      <c r="W19">
        <f>sheet9[[#This Row],[sheet8.Sales Amount]]-sheet9[[#This Row],[sheet8.Cost Amount]]/sheet9[[#This Row],[sheet8.Sales Amount]]*100</f>
        <v>49.083333333333343</v>
      </c>
    </row>
    <row r="20" spans="1:23">
      <c r="A20">
        <v>220770</v>
      </c>
      <c r="B20" s="1">
        <v>44231.202592592592</v>
      </c>
      <c r="C20">
        <v>3</v>
      </c>
      <c r="D20">
        <v>192.4545454545455</v>
      </c>
      <c r="E20">
        <v>298.5</v>
      </c>
      <c r="F20">
        <v>591</v>
      </c>
      <c r="G20">
        <v>1755</v>
      </c>
      <c r="H20">
        <v>1061</v>
      </c>
      <c r="I20">
        <v>345</v>
      </c>
      <c r="J20">
        <v>244.7</v>
      </c>
      <c r="K20" t="s">
        <v>330</v>
      </c>
      <c r="L20" t="s">
        <v>323</v>
      </c>
      <c r="M20">
        <v>3</v>
      </c>
      <c r="N20" t="s">
        <v>148</v>
      </c>
      <c r="O20" t="s">
        <v>149</v>
      </c>
      <c r="P20" t="s">
        <v>4</v>
      </c>
      <c r="Q20" t="s">
        <v>4</v>
      </c>
      <c r="R20">
        <f>sheet9[[#This Row],[sheet6.Quantity on Hand]]*sheet9[[#This Row],[Cost]]</f>
        <v>577.36363636363649</v>
      </c>
      <c r="S20">
        <f>sheet9[[#This Row],[Quantity]]*sheet9[[#This Row],[Cost]]</f>
        <v>577.36363636363649</v>
      </c>
      <c r="T20">
        <f>sheet9[[#This Row],[sheet8.Sales Amount]]-sheet9[[#This Row],[sheet8.Cost Amount]]</f>
        <v>100.30000000000001</v>
      </c>
      <c r="U20">
        <v>2</v>
      </c>
      <c r="V20" t="str">
        <f t="shared" si="0"/>
        <v>over stock</v>
      </c>
      <c r="W20">
        <f>sheet9[[#This Row],[sheet8.Sales Amount]]-sheet9[[#This Row],[sheet8.Cost Amount]]/sheet9[[#This Row],[sheet8.Sales Amount]]*100</f>
        <v>274.07246376811594</v>
      </c>
    </row>
    <row r="21" spans="1:23">
      <c r="A21">
        <v>221158</v>
      </c>
      <c r="B21" s="1">
        <v>44609.635520833333</v>
      </c>
      <c r="C21">
        <v>2</v>
      </c>
      <c r="D21">
        <v>47.680180180180173</v>
      </c>
      <c r="E21">
        <v>149.25</v>
      </c>
      <c r="F21">
        <v>8</v>
      </c>
      <c r="G21">
        <v>1758</v>
      </c>
      <c r="H21">
        <v>1087</v>
      </c>
      <c r="I21">
        <v>1075.5</v>
      </c>
      <c r="J21">
        <v>755.87837837999996</v>
      </c>
      <c r="K21" t="s">
        <v>341</v>
      </c>
      <c r="L21" t="s">
        <v>323</v>
      </c>
      <c r="M21">
        <v>3</v>
      </c>
      <c r="N21" t="s">
        <v>64</v>
      </c>
      <c r="O21" t="s">
        <v>65</v>
      </c>
      <c r="P21" t="s">
        <v>3</v>
      </c>
      <c r="Q21" t="s">
        <v>3</v>
      </c>
      <c r="R21">
        <f>sheet9[[#This Row],[sheet6.Quantity on Hand]]*sheet9[[#This Row],[Cost]]</f>
        <v>143.04054054054052</v>
      </c>
      <c r="S21">
        <f>sheet9[[#This Row],[Quantity]]*sheet9[[#This Row],[Cost]]</f>
        <v>95.360360360360346</v>
      </c>
      <c r="T21">
        <f>sheet9[[#This Row],[sheet8.Sales Amount]]-sheet9[[#This Row],[sheet8.Cost Amount]]</f>
        <v>319.62162162000004</v>
      </c>
      <c r="U21">
        <v>2</v>
      </c>
      <c r="V21" t="str">
        <f t="shared" si="0"/>
        <v>over stock</v>
      </c>
      <c r="W21">
        <f>sheet9[[#This Row],[sheet8.Sales Amount]]-sheet9[[#This Row],[sheet8.Cost Amount]]/sheet9[[#This Row],[sheet8.Sales Amount]]*100</f>
        <v>1005.2184213500698</v>
      </c>
    </row>
    <row r="22" spans="1:23">
      <c r="A22">
        <v>221252</v>
      </c>
      <c r="B22" s="1">
        <v>44575.049976851849</v>
      </c>
      <c r="C22">
        <v>2</v>
      </c>
      <c r="D22">
        <v>129.80000000000001</v>
      </c>
      <c r="E22">
        <v>183</v>
      </c>
      <c r="F22">
        <v>170</v>
      </c>
      <c r="G22">
        <v>1760</v>
      </c>
      <c r="H22">
        <v>1028</v>
      </c>
      <c r="I22">
        <v>288</v>
      </c>
      <c r="J22">
        <v>204.3</v>
      </c>
      <c r="K22" t="s">
        <v>325</v>
      </c>
      <c r="L22" t="s">
        <v>323</v>
      </c>
      <c r="M22">
        <v>2</v>
      </c>
      <c r="N22" t="s">
        <v>60</v>
      </c>
      <c r="O22" t="s">
        <v>61</v>
      </c>
      <c r="P22" t="s">
        <v>2</v>
      </c>
      <c r="Q22" t="s">
        <v>2</v>
      </c>
      <c r="R22">
        <f>sheet9[[#This Row],[sheet6.Quantity on Hand]]*sheet9[[#This Row],[Cost]]</f>
        <v>259.60000000000002</v>
      </c>
      <c r="S22">
        <f>sheet9[[#This Row],[Quantity]]*sheet9[[#This Row],[Cost]]</f>
        <v>259.60000000000002</v>
      </c>
      <c r="T22">
        <f>sheet9[[#This Row],[sheet8.Sales Amount]]-sheet9[[#This Row],[sheet8.Cost Amount]]</f>
        <v>83.699999999999989</v>
      </c>
      <c r="U22">
        <v>2</v>
      </c>
      <c r="V22" t="str">
        <f t="shared" si="0"/>
        <v>over stock</v>
      </c>
      <c r="W22">
        <f>sheet9[[#This Row],[sheet8.Sales Amount]]-sheet9[[#This Row],[sheet8.Cost Amount]]/sheet9[[#This Row],[sheet8.Sales Amount]]*100</f>
        <v>217.0625</v>
      </c>
    </row>
    <row r="23" spans="1:23">
      <c r="A23">
        <v>223482</v>
      </c>
      <c r="B23" s="1">
        <v>43845.582881944443</v>
      </c>
      <c r="C23">
        <v>2</v>
      </c>
      <c r="D23">
        <v>189.35</v>
      </c>
      <c r="E23">
        <v>267</v>
      </c>
      <c r="F23">
        <v>425</v>
      </c>
      <c r="G23">
        <v>1776</v>
      </c>
      <c r="H23">
        <v>321</v>
      </c>
      <c r="I23">
        <v>167.5</v>
      </c>
      <c r="J23">
        <v>108</v>
      </c>
      <c r="K23" t="s">
        <v>279</v>
      </c>
      <c r="L23" t="s">
        <v>237</v>
      </c>
      <c r="M23">
        <v>3</v>
      </c>
      <c r="N23" t="s">
        <v>48</v>
      </c>
      <c r="O23" t="s">
        <v>49</v>
      </c>
      <c r="P23" t="s">
        <v>6</v>
      </c>
      <c r="Q23" t="s">
        <v>6</v>
      </c>
      <c r="R23">
        <f>sheet9[[#This Row],[sheet6.Quantity on Hand]]*sheet9[[#This Row],[Cost]]</f>
        <v>568.04999999999995</v>
      </c>
      <c r="S23">
        <f>sheet9[[#This Row],[Quantity]]*sheet9[[#This Row],[Cost]]</f>
        <v>378.7</v>
      </c>
      <c r="T23">
        <f>sheet9[[#This Row],[sheet8.Sales Amount]]-sheet9[[#This Row],[sheet8.Cost Amount]]</f>
        <v>59.5</v>
      </c>
      <c r="U23">
        <v>2</v>
      </c>
      <c r="V23" t="str">
        <f t="shared" si="0"/>
        <v>over stock</v>
      </c>
      <c r="W23">
        <f>sheet9[[#This Row],[sheet8.Sales Amount]]-sheet9[[#This Row],[sheet8.Cost Amount]]/sheet9[[#This Row],[sheet8.Sales Amount]]*100</f>
        <v>103.0223880597015</v>
      </c>
    </row>
    <row r="24" spans="1:23">
      <c r="A24">
        <v>223804</v>
      </c>
      <c r="B24" s="1">
        <v>44596.532465277778</v>
      </c>
      <c r="C24">
        <v>1</v>
      </c>
      <c r="D24">
        <v>252.8</v>
      </c>
      <c r="E24">
        <v>356.5</v>
      </c>
      <c r="F24">
        <v>831</v>
      </c>
      <c r="G24">
        <v>1777</v>
      </c>
      <c r="H24">
        <v>346</v>
      </c>
      <c r="I24">
        <v>230</v>
      </c>
      <c r="J24">
        <v>148.27272726999999</v>
      </c>
      <c r="K24" t="s">
        <v>289</v>
      </c>
      <c r="L24" t="s">
        <v>237</v>
      </c>
      <c r="M24">
        <v>2</v>
      </c>
      <c r="N24" t="s">
        <v>20</v>
      </c>
      <c r="O24" t="s">
        <v>21</v>
      </c>
      <c r="P24" t="s">
        <v>6</v>
      </c>
      <c r="Q24" t="s">
        <v>6</v>
      </c>
      <c r="R24">
        <f>sheet9[[#This Row],[sheet6.Quantity on Hand]]*sheet9[[#This Row],[Cost]]</f>
        <v>505.6</v>
      </c>
      <c r="S24">
        <f>sheet9[[#This Row],[Quantity]]*sheet9[[#This Row],[Cost]]</f>
        <v>252.8</v>
      </c>
      <c r="T24">
        <f>sheet9[[#This Row],[sheet8.Sales Amount]]-sheet9[[#This Row],[sheet8.Cost Amount]]</f>
        <v>81.72727273000001</v>
      </c>
      <c r="U24">
        <v>2</v>
      </c>
      <c r="V24" t="str">
        <f t="shared" si="0"/>
        <v>under stock</v>
      </c>
      <c r="W24">
        <f>sheet9[[#This Row],[sheet8.Sales Amount]]-sheet9[[#This Row],[sheet8.Cost Amount]]/sheet9[[#This Row],[sheet8.Sales Amount]]*100</f>
        <v>165.53359683913044</v>
      </c>
    </row>
    <row r="25" spans="1:23">
      <c r="A25">
        <v>223926</v>
      </c>
      <c r="B25" s="1">
        <v>43839.406122685185</v>
      </c>
      <c r="C25">
        <v>1</v>
      </c>
      <c r="D25">
        <v>114.9</v>
      </c>
      <c r="E25">
        <v>162</v>
      </c>
      <c r="F25">
        <v>115</v>
      </c>
      <c r="G25">
        <v>1779</v>
      </c>
      <c r="H25">
        <v>186</v>
      </c>
      <c r="I25">
        <v>246</v>
      </c>
      <c r="J25">
        <v>158.63636364000001</v>
      </c>
      <c r="K25" t="s">
        <v>263</v>
      </c>
      <c r="L25" t="s">
        <v>237</v>
      </c>
      <c r="M25">
        <v>1</v>
      </c>
      <c r="N25" t="s">
        <v>92</v>
      </c>
      <c r="O25" t="s">
        <v>93</v>
      </c>
      <c r="P25" t="s">
        <v>5</v>
      </c>
      <c r="Q25" t="s">
        <v>5</v>
      </c>
      <c r="R25">
        <f>sheet9[[#This Row],[sheet6.Quantity on Hand]]*sheet9[[#This Row],[Cost]]</f>
        <v>114.9</v>
      </c>
      <c r="S25">
        <f>sheet9[[#This Row],[Quantity]]*sheet9[[#This Row],[Cost]]</f>
        <v>114.9</v>
      </c>
      <c r="T25">
        <f>sheet9[[#This Row],[sheet8.Sales Amount]]-sheet9[[#This Row],[sheet8.Cost Amount]]</f>
        <v>87.363636359999987</v>
      </c>
      <c r="U25">
        <v>2</v>
      </c>
      <c r="V25" t="str">
        <f t="shared" si="0"/>
        <v>under stock</v>
      </c>
      <c r="W25">
        <f>sheet9[[#This Row],[sheet8.Sales Amount]]-sheet9[[#This Row],[sheet8.Cost Amount]]/sheet9[[#This Row],[sheet8.Sales Amount]]*100</f>
        <v>181.51367331707317</v>
      </c>
    </row>
    <row r="26" spans="1:23">
      <c r="A26">
        <v>224118</v>
      </c>
      <c r="B26" s="1">
        <v>44216.402939814812</v>
      </c>
      <c r="C26">
        <v>1</v>
      </c>
      <c r="D26">
        <v>204.3</v>
      </c>
      <c r="E26">
        <v>288</v>
      </c>
      <c r="F26">
        <v>200</v>
      </c>
      <c r="G26">
        <v>1780</v>
      </c>
      <c r="H26">
        <v>796</v>
      </c>
      <c r="I26">
        <v>178</v>
      </c>
      <c r="J26">
        <v>81.948051948</v>
      </c>
      <c r="K26" t="s">
        <v>318</v>
      </c>
      <c r="L26" t="s">
        <v>310</v>
      </c>
      <c r="M26">
        <v>2</v>
      </c>
      <c r="N26" t="s">
        <v>122</v>
      </c>
      <c r="O26" t="s">
        <v>123</v>
      </c>
      <c r="P26" t="s">
        <v>5</v>
      </c>
      <c r="Q26" t="s">
        <v>5</v>
      </c>
      <c r="R26">
        <f>sheet9[[#This Row],[sheet6.Quantity on Hand]]*sheet9[[#This Row],[Cost]]</f>
        <v>408.6</v>
      </c>
      <c r="S26">
        <f>sheet9[[#This Row],[Quantity]]*sheet9[[#This Row],[Cost]]</f>
        <v>204.3</v>
      </c>
      <c r="T26">
        <f>sheet9[[#This Row],[sheet8.Sales Amount]]-sheet9[[#This Row],[sheet8.Cost Amount]]</f>
        <v>96.051948052</v>
      </c>
      <c r="U26">
        <v>2</v>
      </c>
      <c r="V26" t="str">
        <f t="shared" si="0"/>
        <v>under stock</v>
      </c>
      <c r="W26">
        <f>sheet9[[#This Row],[sheet8.Sales Amount]]-sheet9[[#This Row],[sheet8.Cost Amount]]/sheet9[[#This Row],[sheet8.Sales Amount]]*100</f>
        <v>131.96176856853933</v>
      </c>
    </row>
    <row r="27" spans="1:23">
      <c r="A27">
        <v>224230</v>
      </c>
      <c r="B27" s="1">
        <v>44201.059444444443</v>
      </c>
      <c r="C27">
        <v>5</v>
      </c>
      <c r="D27">
        <v>297.7</v>
      </c>
      <c r="E27">
        <v>419.75</v>
      </c>
      <c r="F27">
        <v>625</v>
      </c>
      <c r="G27">
        <v>1781</v>
      </c>
      <c r="H27">
        <v>87</v>
      </c>
      <c r="I27">
        <v>243</v>
      </c>
      <c r="J27">
        <v>156.68181817999999</v>
      </c>
      <c r="K27" t="s">
        <v>246</v>
      </c>
      <c r="L27" t="s">
        <v>237</v>
      </c>
      <c r="M27">
        <v>3</v>
      </c>
      <c r="N27" t="s">
        <v>36</v>
      </c>
      <c r="O27" t="s">
        <v>37</v>
      </c>
      <c r="P27" t="s">
        <v>3</v>
      </c>
      <c r="Q27" t="s">
        <v>3</v>
      </c>
      <c r="R27">
        <f>sheet9[[#This Row],[sheet6.Quantity on Hand]]*sheet9[[#This Row],[Cost]]</f>
        <v>893.09999999999991</v>
      </c>
      <c r="S27">
        <f>sheet9[[#This Row],[Quantity]]*sheet9[[#This Row],[Cost]]</f>
        <v>1488.5</v>
      </c>
      <c r="T27">
        <f>sheet9[[#This Row],[sheet8.Sales Amount]]-sheet9[[#This Row],[sheet8.Cost Amount]]</f>
        <v>86.318181820000007</v>
      </c>
      <c r="U27">
        <v>2</v>
      </c>
      <c r="V27" t="str">
        <f t="shared" si="0"/>
        <v>over stock</v>
      </c>
      <c r="W27">
        <f>sheet9[[#This Row],[sheet8.Sales Amount]]-sheet9[[#This Row],[sheet8.Cost Amount]]/sheet9[[#This Row],[sheet8.Sales Amount]]*100</f>
        <v>178.52188552263374</v>
      </c>
    </row>
    <row r="28" spans="1:23">
      <c r="A28">
        <v>224398</v>
      </c>
      <c r="B28" s="1">
        <v>43852.96638888889</v>
      </c>
      <c r="C28">
        <v>1</v>
      </c>
      <c r="D28">
        <v>573</v>
      </c>
      <c r="E28">
        <v>808</v>
      </c>
      <c r="F28">
        <v>402</v>
      </c>
      <c r="G28">
        <v>1782</v>
      </c>
      <c r="H28">
        <v>68</v>
      </c>
      <c r="I28">
        <v>99</v>
      </c>
      <c r="J28">
        <v>63.818181817999999</v>
      </c>
      <c r="K28" t="s">
        <v>244</v>
      </c>
      <c r="L28" t="s">
        <v>237</v>
      </c>
      <c r="M28">
        <v>1</v>
      </c>
      <c r="N28" t="s">
        <v>160</v>
      </c>
      <c r="O28" t="s">
        <v>161</v>
      </c>
      <c r="P28" t="s">
        <v>5</v>
      </c>
      <c r="Q28" t="s">
        <v>5</v>
      </c>
      <c r="R28">
        <f>sheet9[[#This Row],[sheet6.Quantity on Hand]]*sheet9[[#This Row],[Cost]]</f>
        <v>573</v>
      </c>
      <c r="S28">
        <f>sheet9[[#This Row],[Quantity]]*sheet9[[#This Row],[Cost]]</f>
        <v>573</v>
      </c>
      <c r="T28">
        <f>sheet9[[#This Row],[sheet8.Sales Amount]]-sheet9[[#This Row],[sheet8.Cost Amount]]</f>
        <v>35.181818182000001</v>
      </c>
      <c r="U28">
        <v>2</v>
      </c>
      <c r="V28" t="str">
        <f t="shared" si="0"/>
        <v>under stock</v>
      </c>
      <c r="W28">
        <f>sheet9[[#This Row],[sheet8.Sales Amount]]-sheet9[[#This Row],[sheet8.Cost Amount]]/sheet9[[#This Row],[sheet8.Sales Amount]]*100</f>
        <v>34.537190082828289</v>
      </c>
    </row>
    <row r="29" spans="1:23">
      <c r="A29">
        <v>528660</v>
      </c>
      <c r="B29" s="1">
        <v>44440.945590277777</v>
      </c>
      <c r="C29">
        <v>2</v>
      </c>
      <c r="D29">
        <v>88.742857142857147</v>
      </c>
      <c r="E29">
        <v>109.5</v>
      </c>
      <c r="F29">
        <v>661</v>
      </c>
      <c r="G29">
        <v>4260</v>
      </c>
      <c r="H29">
        <v>444</v>
      </c>
      <c r="I29">
        <v>219</v>
      </c>
      <c r="J29">
        <v>73.952380951999999</v>
      </c>
      <c r="K29" t="s">
        <v>307</v>
      </c>
      <c r="L29" t="s">
        <v>268</v>
      </c>
      <c r="M29">
        <v>2</v>
      </c>
      <c r="N29" t="s">
        <v>196</v>
      </c>
      <c r="O29" t="s">
        <v>197</v>
      </c>
      <c r="P29" t="s">
        <v>4</v>
      </c>
      <c r="Q29" t="s">
        <v>4</v>
      </c>
      <c r="R29">
        <f>sheet9[[#This Row],[sheet6.Quantity on Hand]]*sheet9[[#This Row],[Cost]]</f>
        <v>177.48571428571429</v>
      </c>
      <c r="S29">
        <f>sheet9[[#This Row],[Quantity]]*sheet9[[#This Row],[Cost]]</f>
        <v>177.48571428571429</v>
      </c>
      <c r="T29">
        <f>sheet9[[#This Row],[sheet8.Sales Amount]]-sheet9[[#This Row],[sheet8.Cost Amount]]</f>
        <v>145.047619048</v>
      </c>
      <c r="U29">
        <v>2</v>
      </c>
      <c r="V29" t="str">
        <f t="shared" si="0"/>
        <v>over stock</v>
      </c>
      <c r="W29">
        <f>sheet9[[#This Row],[sheet8.Sales Amount]]-sheet9[[#This Row],[sheet8.Cost Amount]]/sheet9[[#This Row],[sheet8.Sales Amount]]*100</f>
        <v>185.2317895196347</v>
      </c>
    </row>
    <row r="30" spans="1:23">
      <c r="A30">
        <v>528748</v>
      </c>
      <c r="B30" s="1">
        <v>43529.631099537037</v>
      </c>
      <c r="C30">
        <v>2</v>
      </c>
      <c r="D30">
        <v>590.03603603603608</v>
      </c>
      <c r="E30">
        <v>839.5</v>
      </c>
      <c r="F30">
        <v>473</v>
      </c>
      <c r="G30">
        <v>4261</v>
      </c>
      <c r="H30">
        <v>372</v>
      </c>
      <c r="I30">
        <v>240</v>
      </c>
      <c r="J30">
        <v>153.33333332999999</v>
      </c>
      <c r="K30" t="s">
        <v>296</v>
      </c>
      <c r="L30" t="s">
        <v>237</v>
      </c>
      <c r="M30">
        <v>2</v>
      </c>
      <c r="N30" t="s">
        <v>162</v>
      </c>
      <c r="O30" t="s">
        <v>163</v>
      </c>
      <c r="P30" t="s">
        <v>4</v>
      </c>
      <c r="Q30" t="s">
        <v>4</v>
      </c>
      <c r="R30">
        <f>sheet9[[#This Row],[sheet6.Quantity on Hand]]*sheet9[[#This Row],[Cost]]</f>
        <v>1180.0720720720722</v>
      </c>
      <c r="S30">
        <f>sheet9[[#This Row],[Quantity]]*sheet9[[#This Row],[Cost]]</f>
        <v>1180.0720720720722</v>
      </c>
      <c r="T30">
        <f>sheet9[[#This Row],[sheet8.Sales Amount]]-sheet9[[#This Row],[sheet8.Cost Amount]]</f>
        <v>86.666666670000012</v>
      </c>
      <c r="U30">
        <v>2</v>
      </c>
      <c r="V30" t="str">
        <f t="shared" si="0"/>
        <v>over stock</v>
      </c>
      <c r="W30">
        <f>sheet9[[#This Row],[sheet8.Sales Amount]]-sheet9[[#This Row],[sheet8.Cost Amount]]/sheet9[[#This Row],[sheet8.Sales Amount]]*100</f>
        <v>176.1111111125</v>
      </c>
    </row>
    <row r="31" spans="1:23">
      <c r="A31">
        <v>529108</v>
      </c>
      <c r="B31" s="1">
        <v>43685.147453703707</v>
      </c>
      <c r="C31">
        <v>3</v>
      </c>
      <c r="D31">
        <v>81.047619047619051</v>
      </c>
      <c r="E31">
        <v>120</v>
      </c>
      <c r="F31">
        <v>201</v>
      </c>
      <c r="G31">
        <v>4263</v>
      </c>
      <c r="H31">
        <v>309</v>
      </c>
      <c r="I31">
        <v>360</v>
      </c>
      <c r="J31">
        <v>243.14285713999999</v>
      </c>
      <c r="K31" t="s">
        <v>275</v>
      </c>
      <c r="L31" t="s">
        <v>237</v>
      </c>
      <c r="M31">
        <v>3</v>
      </c>
      <c r="N31" t="s">
        <v>100</v>
      </c>
      <c r="O31" t="s">
        <v>101</v>
      </c>
      <c r="P31" t="s">
        <v>4</v>
      </c>
      <c r="Q31" t="s">
        <v>4</v>
      </c>
      <c r="R31">
        <f>sheet9[[#This Row],[sheet6.Quantity on Hand]]*sheet9[[#This Row],[Cost]]</f>
        <v>243.14285714285717</v>
      </c>
      <c r="S31">
        <f>sheet9[[#This Row],[Quantity]]*sheet9[[#This Row],[Cost]]</f>
        <v>243.14285714285717</v>
      </c>
      <c r="T31">
        <f>sheet9[[#This Row],[sheet8.Sales Amount]]-sheet9[[#This Row],[sheet8.Cost Amount]]</f>
        <v>116.85714286000001</v>
      </c>
      <c r="U31">
        <v>2</v>
      </c>
      <c r="V31" t="str">
        <f t="shared" si="0"/>
        <v>over stock</v>
      </c>
      <c r="W31">
        <f>sheet9[[#This Row],[sheet8.Sales Amount]]-sheet9[[#This Row],[sheet8.Cost Amount]]/sheet9[[#This Row],[sheet8.Sales Amount]]*100</f>
        <v>292.46031746111112</v>
      </c>
    </row>
    <row r="32" spans="1:23">
      <c r="A32">
        <v>528981</v>
      </c>
      <c r="B32" s="1">
        <v>43637.564583333333</v>
      </c>
      <c r="C32">
        <v>1</v>
      </c>
      <c r="D32">
        <v>357.37864077669911</v>
      </c>
      <c r="E32">
        <v>519</v>
      </c>
      <c r="F32">
        <v>795</v>
      </c>
      <c r="G32">
        <v>4262</v>
      </c>
      <c r="H32">
        <v>200</v>
      </c>
      <c r="I32">
        <v>519</v>
      </c>
      <c r="J32">
        <v>357.37864078000001</v>
      </c>
      <c r="K32" t="s">
        <v>266</v>
      </c>
      <c r="L32" t="s">
        <v>237</v>
      </c>
      <c r="M32">
        <v>1</v>
      </c>
      <c r="N32" t="s">
        <v>46</v>
      </c>
      <c r="O32" t="s">
        <v>47</v>
      </c>
      <c r="P32" t="s">
        <v>4</v>
      </c>
      <c r="Q32" t="s">
        <v>4</v>
      </c>
      <c r="R32">
        <f>sheet9[[#This Row],[sheet6.Quantity on Hand]]*sheet9[[#This Row],[Cost]]</f>
        <v>357.37864077669911</v>
      </c>
      <c r="S32">
        <f>sheet9[[#This Row],[Quantity]]*sheet9[[#This Row],[Cost]]</f>
        <v>357.37864077669911</v>
      </c>
      <c r="T32">
        <f>sheet9[[#This Row],[sheet8.Sales Amount]]-sheet9[[#This Row],[sheet8.Cost Amount]]</f>
        <v>161.62135921999999</v>
      </c>
      <c r="U32">
        <v>2</v>
      </c>
      <c r="V32" t="str">
        <f t="shared" si="0"/>
        <v>under stock</v>
      </c>
      <c r="W32">
        <f>sheet9[[#This Row],[sheet8.Sales Amount]]-sheet9[[#This Row],[sheet8.Cost Amount]]/sheet9[[#This Row],[sheet8.Sales Amount]]*100</f>
        <v>450.14091699807324</v>
      </c>
    </row>
    <row r="33" spans="1:23">
      <c r="A33">
        <v>528497</v>
      </c>
      <c r="B33" s="1">
        <v>44828.336504629631</v>
      </c>
      <c r="C33">
        <v>3</v>
      </c>
      <c r="D33">
        <v>19.072327044025151</v>
      </c>
      <c r="E33">
        <v>28.5</v>
      </c>
      <c r="F33">
        <v>400</v>
      </c>
      <c r="G33">
        <v>4259</v>
      </c>
      <c r="H33">
        <v>154</v>
      </c>
      <c r="I33">
        <v>85.5</v>
      </c>
      <c r="J33">
        <v>57.216981132000001</v>
      </c>
      <c r="K33" t="s">
        <v>253</v>
      </c>
      <c r="L33" t="s">
        <v>237</v>
      </c>
      <c r="M33">
        <v>2</v>
      </c>
      <c r="N33" t="s">
        <v>76</v>
      </c>
      <c r="O33" t="s">
        <v>77</v>
      </c>
      <c r="P33" t="s">
        <v>3</v>
      </c>
      <c r="Q33" t="s">
        <v>3</v>
      </c>
      <c r="R33">
        <f>sheet9[[#This Row],[sheet6.Quantity on Hand]]*sheet9[[#This Row],[Cost]]</f>
        <v>38.144654088050302</v>
      </c>
      <c r="S33">
        <f>sheet9[[#This Row],[Quantity]]*sheet9[[#This Row],[Cost]]</f>
        <v>57.216981132075453</v>
      </c>
      <c r="T33">
        <f>sheet9[[#This Row],[sheet8.Sales Amount]]-sheet9[[#This Row],[sheet8.Cost Amount]]</f>
        <v>28.283018867999999</v>
      </c>
      <c r="U33">
        <v>2</v>
      </c>
      <c r="V33" t="str">
        <f t="shared" si="0"/>
        <v>over stock</v>
      </c>
      <c r="W33">
        <f>sheet9[[#This Row],[sheet8.Sales Amount]]-sheet9[[#This Row],[sheet8.Cost Amount]]/sheet9[[#This Row],[sheet8.Sales Amount]]*100</f>
        <v>18.579554231578939</v>
      </c>
    </row>
    <row r="34" spans="1:23">
      <c r="A34">
        <v>529316</v>
      </c>
      <c r="B34" s="1">
        <v>44456.724502314813</v>
      </c>
      <c r="C34">
        <v>5</v>
      </c>
      <c r="D34">
        <v>119.2641509433962</v>
      </c>
      <c r="E34">
        <v>178.25</v>
      </c>
      <c r="F34">
        <v>912</v>
      </c>
      <c r="G34">
        <v>4264</v>
      </c>
      <c r="H34">
        <v>182</v>
      </c>
      <c r="I34">
        <v>891.25</v>
      </c>
      <c r="J34">
        <v>596.32075471999997</v>
      </c>
      <c r="K34" t="s">
        <v>259</v>
      </c>
      <c r="L34" t="s">
        <v>237</v>
      </c>
      <c r="M34">
        <v>2</v>
      </c>
      <c r="N34" t="s">
        <v>120</v>
      </c>
      <c r="O34" t="s">
        <v>121</v>
      </c>
      <c r="P34" t="s">
        <v>3</v>
      </c>
      <c r="Q34" t="s">
        <v>3</v>
      </c>
      <c r="R34">
        <f>sheet9[[#This Row],[sheet6.Quantity on Hand]]*sheet9[[#This Row],[Cost]]</f>
        <v>238.52830188679241</v>
      </c>
      <c r="S34">
        <f>sheet9[[#This Row],[Quantity]]*sheet9[[#This Row],[Cost]]</f>
        <v>596.32075471698101</v>
      </c>
      <c r="T34">
        <f>sheet9[[#This Row],[sheet8.Sales Amount]]-sheet9[[#This Row],[sheet8.Cost Amount]]</f>
        <v>294.92924528000003</v>
      </c>
      <c r="U34">
        <v>2</v>
      </c>
      <c r="V34" t="str">
        <f t="shared" ref="V34:V65" si="1">IF(C34=0,"out of stock",IF(C34&lt;U34,"under stock","over stock"))</f>
        <v>over stock</v>
      </c>
      <c r="W34">
        <f>sheet9[[#This Row],[sheet8.Sales Amount]]-sheet9[[#This Row],[sheet8.Cost Amount]]/sheet9[[#This Row],[sheet8.Sales Amount]]*100</f>
        <v>824.3416404241234</v>
      </c>
    </row>
    <row r="35" spans="1:23">
      <c r="A35">
        <v>528248</v>
      </c>
      <c r="B35" s="1">
        <v>44824.81486111111</v>
      </c>
      <c r="C35">
        <v>3</v>
      </c>
      <c r="D35">
        <v>38.712938005390832</v>
      </c>
      <c r="E35">
        <v>81</v>
      </c>
      <c r="F35">
        <v>39</v>
      </c>
      <c r="G35">
        <v>4256</v>
      </c>
      <c r="H35">
        <v>556</v>
      </c>
      <c r="I35">
        <v>243</v>
      </c>
      <c r="J35">
        <v>116.13881402</v>
      </c>
      <c r="K35" t="s">
        <v>313</v>
      </c>
      <c r="L35" t="s">
        <v>310</v>
      </c>
      <c r="M35">
        <v>2</v>
      </c>
      <c r="N35" t="s">
        <v>140</v>
      </c>
      <c r="O35" t="s">
        <v>141</v>
      </c>
      <c r="P35" t="s">
        <v>3</v>
      </c>
      <c r="Q35" t="s">
        <v>3</v>
      </c>
      <c r="R35">
        <f>sheet9[[#This Row],[sheet6.Quantity on Hand]]*sheet9[[#This Row],[Cost]]</f>
        <v>77.425876010781664</v>
      </c>
      <c r="S35">
        <f>sheet9[[#This Row],[Quantity]]*sheet9[[#This Row],[Cost]]</f>
        <v>116.13881401617249</v>
      </c>
      <c r="T35">
        <f>sheet9[[#This Row],[sheet8.Sales Amount]]-sheet9[[#This Row],[sheet8.Cost Amount]]</f>
        <v>126.86118598</v>
      </c>
      <c r="U35">
        <v>2</v>
      </c>
      <c r="V35" t="str">
        <f t="shared" si="1"/>
        <v>over stock</v>
      </c>
      <c r="W35">
        <f>sheet9[[#This Row],[sheet8.Sales Amount]]-sheet9[[#This Row],[sheet8.Cost Amount]]/sheet9[[#This Row],[sheet8.Sales Amount]]*100</f>
        <v>195.20624937448559</v>
      </c>
    </row>
    <row r="36" spans="1:23">
      <c r="A36">
        <v>528075</v>
      </c>
      <c r="B36" s="1">
        <v>44124.055474537039</v>
      </c>
      <c r="C36">
        <v>2</v>
      </c>
      <c r="D36">
        <v>36.285046728971963</v>
      </c>
      <c r="E36">
        <v>54.75</v>
      </c>
      <c r="F36">
        <v>436</v>
      </c>
      <c r="G36">
        <v>4255</v>
      </c>
      <c r="H36">
        <v>93</v>
      </c>
      <c r="I36">
        <v>109.5</v>
      </c>
      <c r="J36">
        <v>72.570093458000002</v>
      </c>
      <c r="K36" t="s">
        <v>248</v>
      </c>
      <c r="L36" t="s">
        <v>237</v>
      </c>
      <c r="M36">
        <v>3</v>
      </c>
      <c r="N36" t="s">
        <v>202</v>
      </c>
      <c r="O36" t="s">
        <v>203</v>
      </c>
      <c r="P36" t="s">
        <v>3</v>
      </c>
      <c r="Q36" t="s">
        <v>5</v>
      </c>
      <c r="R36">
        <f>sheet9[[#This Row],[sheet6.Quantity on Hand]]*sheet9[[#This Row],[Cost]]</f>
        <v>108.85514018691589</v>
      </c>
      <c r="S36">
        <f>sheet9[[#This Row],[Quantity]]*sheet9[[#This Row],[Cost]]</f>
        <v>72.570093457943926</v>
      </c>
      <c r="T36">
        <f>sheet9[[#This Row],[sheet8.Sales Amount]]-sheet9[[#This Row],[sheet8.Cost Amount]]</f>
        <v>36.929906541999998</v>
      </c>
      <c r="U36">
        <v>2</v>
      </c>
      <c r="V36" t="str">
        <f t="shared" si="1"/>
        <v>over stock</v>
      </c>
      <c r="W36">
        <f>sheet9[[#This Row],[sheet8.Sales Amount]]-sheet9[[#This Row],[sheet8.Cost Amount]]/sheet9[[#This Row],[sheet8.Sales Amount]]*100</f>
        <v>43.225942047488573</v>
      </c>
    </row>
    <row r="37" spans="1:23">
      <c r="A37">
        <v>529542</v>
      </c>
      <c r="B37" s="1">
        <v>44524.734027777777</v>
      </c>
      <c r="C37">
        <v>3</v>
      </c>
      <c r="D37">
        <v>158.27160493827159</v>
      </c>
      <c r="E37">
        <v>241</v>
      </c>
      <c r="F37">
        <v>888</v>
      </c>
      <c r="G37">
        <v>4265</v>
      </c>
      <c r="H37">
        <v>336</v>
      </c>
      <c r="I37">
        <v>723</v>
      </c>
      <c r="J37">
        <v>474.81481480999997</v>
      </c>
      <c r="K37" t="s">
        <v>286</v>
      </c>
      <c r="L37" t="s">
        <v>237</v>
      </c>
      <c r="M37">
        <v>2</v>
      </c>
      <c r="N37" t="s">
        <v>58</v>
      </c>
      <c r="O37" t="s">
        <v>59</v>
      </c>
      <c r="P37" t="s">
        <v>6</v>
      </c>
      <c r="Q37" t="s">
        <v>6</v>
      </c>
      <c r="R37">
        <f>sheet9[[#This Row],[sheet6.Quantity on Hand]]*sheet9[[#This Row],[Cost]]</f>
        <v>316.54320987654319</v>
      </c>
      <c r="S37">
        <f>sheet9[[#This Row],[Quantity]]*sheet9[[#This Row],[Cost]]</f>
        <v>474.81481481481478</v>
      </c>
      <c r="T37">
        <f>sheet9[[#This Row],[sheet8.Sales Amount]]-sheet9[[#This Row],[sheet8.Cost Amount]]</f>
        <v>248.18518519000003</v>
      </c>
      <c r="U37">
        <v>2</v>
      </c>
      <c r="V37" t="str">
        <f t="shared" si="1"/>
        <v>over stock</v>
      </c>
      <c r="W37">
        <f>sheet9[[#This Row],[sheet8.Sales Amount]]-sheet9[[#This Row],[sheet8.Cost Amount]]/sheet9[[#This Row],[sheet8.Sales Amount]]*100</f>
        <v>657.32713488105117</v>
      </c>
    </row>
    <row r="38" spans="1:23">
      <c r="A38">
        <v>528456</v>
      </c>
      <c r="B38" s="1">
        <v>44946.501574074071</v>
      </c>
      <c r="C38">
        <v>3</v>
      </c>
      <c r="D38">
        <v>38.848484848484837</v>
      </c>
      <c r="E38">
        <v>120.5</v>
      </c>
      <c r="F38">
        <v>269</v>
      </c>
      <c r="G38">
        <v>4258</v>
      </c>
      <c r="H38">
        <v>360</v>
      </c>
      <c r="I38">
        <v>178</v>
      </c>
      <c r="J38">
        <v>114.77272727</v>
      </c>
      <c r="K38" t="s">
        <v>293</v>
      </c>
      <c r="L38" t="s">
        <v>237</v>
      </c>
      <c r="M38">
        <v>2</v>
      </c>
      <c r="N38" t="s">
        <v>18</v>
      </c>
      <c r="O38" t="s">
        <v>19</v>
      </c>
      <c r="P38" t="s">
        <v>3</v>
      </c>
      <c r="Q38" t="s">
        <v>2</v>
      </c>
      <c r="R38">
        <f>sheet9[[#This Row],[sheet6.Quantity on Hand]]*sheet9[[#This Row],[Cost]]</f>
        <v>77.696969696969674</v>
      </c>
      <c r="S38">
        <f>sheet9[[#This Row],[Quantity]]*sheet9[[#This Row],[Cost]]</f>
        <v>116.5454545454545</v>
      </c>
      <c r="T38">
        <f>sheet9[[#This Row],[sheet8.Sales Amount]]-sheet9[[#This Row],[sheet8.Cost Amount]]</f>
        <v>63.227272729999996</v>
      </c>
      <c r="U38">
        <v>2</v>
      </c>
      <c r="V38" t="str">
        <f t="shared" si="1"/>
        <v>over stock</v>
      </c>
      <c r="W38">
        <f>sheet9[[#This Row],[sheet8.Sales Amount]]-sheet9[[#This Row],[sheet8.Cost Amount]]/sheet9[[#This Row],[sheet8.Sales Amount]]*100</f>
        <v>113.52093973595505</v>
      </c>
    </row>
    <row r="39" spans="1:23">
      <c r="A39">
        <v>530320</v>
      </c>
      <c r="B39" s="1">
        <v>43856.199525462966</v>
      </c>
      <c r="C39">
        <v>1</v>
      </c>
      <c r="D39">
        <v>206</v>
      </c>
      <c r="E39">
        <v>319.5</v>
      </c>
      <c r="F39">
        <v>815</v>
      </c>
      <c r="G39">
        <v>4269</v>
      </c>
      <c r="H39">
        <v>190</v>
      </c>
      <c r="I39">
        <v>319.5</v>
      </c>
      <c r="J39">
        <v>206</v>
      </c>
      <c r="K39" t="s">
        <v>265</v>
      </c>
      <c r="L39" t="s">
        <v>237</v>
      </c>
      <c r="M39">
        <v>1</v>
      </c>
      <c r="N39" t="s">
        <v>150</v>
      </c>
      <c r="O39" t="s">
        <v>151</v>
      </c>
      <c r="P39" t="s">
        <v>4</v>
      </c>
      <c r="Q39" t="s">
        <v>4</v>
      </c>
      <c r="R39">
        <f>sheet9[[#This Row],[sheet6.Quantity on Hand]]*sheet9[[#This Row],[Cost]]</f>
        <v>206</v>
      </c>
      <c r="S39">
        <f>sheet9[[#This Row],[Quantity]]*sheet9[[#This Row],[Cost]]</f>
        <v>206</v>
      </c>
      <c r="T39">
        <f>sheet9[[#This Row],[sheet8.Sales Amount]]-sheet9[[#This Row],[sheet8.Cost Amount]]</f>
        <v>113.5</v>
      </c>
      <c r="U39">
        <v>2</v>
      </c>
      <c r="V39" t="str">
        <f t="shared" si="1"/>
        <v>under stock</v>
      </c>
      <c r="W39">
        <f>sheet9[[#This Row],[sheet8.Sales Amount]]-sheet9[[#This Row],[sheet8.Cost Amount]]/sheet9[[#This Row],[sheet8.Sales Amount]]*100</f>
        <v>255.0242566510172</v>
      </c>
    </row>
    <row r="40" spans="1:23">
      <c r="A40">
        <v>530937</v>
      </c>
      <c r="B40" s="1">
        <v>44502.342685185184</v>
      </c>
      <c r="C40">
        <v>1</v>
      </c>
      <c r="D40">
        <v>83.887850467289724</v>
      </c>
      <c r="E40">
        <v>115</v>
      </c>
      <c r="F40">
        <v>992</v>
      </c>
      <c r="G40">
        <v>4273</v>
      </c>
      <c r="H40">
        <v>1008</v>
      </c>
      <c r="I40">
        <v>240</v>
      </c>
      <c r="J40">
        <v>174.97196262</v>
      </c>
      <c r="K40" t="s">
        <v>333</v>
      </c>
      <c r="L40" t="s">
        <v>323</v>
      </c>
      <c r="M40">
        <v>2</v>
      </c>
      <c r="N40" t="s">
        <v>138</v>
      </c>
      <c r="O40" t="s">
        <v>139</v>
      </c>
      <c r="P40" t="s">
        <v>2</v>
      </c>
      <c r="Q40" t="s">
        <v>2</v>
      </c>
      <c r="R40">
        <f>sheet9[[#This Row],[sheet6.Quantity on Hand]]*sheet9[[#This Row],[Cost]]</f>
        <v>167.77570093457945</v>
      </c>
      <c r="S40">
        <f>sheet9[[#This Row],[Quantity]]*sheet9[[#This Row],[Cost]]</f>
        <v>83.887850467289724</v>
      </c>
      <c r="T40">
        <f>sheet9[[#This Row],[sheet8.Sales Amount]]-sheet9[[#This Row],[sheet8.Cost Amount]]</f>
        <v>65.028037380000001</v>
      </c>
      <c r="U40">
        <v>2</v>
      </c>
      <c r="V40" t="str">
        <f t="shared" si="1"/>
        <v>under stock</v>
      </c>
      <c r="W40">
        <f>sheet9[[#This Row],[sheet8.Sales Amount]]-sheet9[[#This Row],[sheet8.Cost Amount]]/sheet9[[#This Row],[sheet8.Sales Amount]]*100</f>
        <v>167.09501557499999</v>
      </c>
    </row>
    <row r="41" spans="1:23">
      <c r="A41">
        <v>530631</v>
      </c>
      <c r="B41" s="1">
        <v>44163.714282407411</v>
      </c>
      <c r="C41">
        <v>3</v>
      </c>
      <c r="D41">
        <v>1254.712962962963</v>
      </c>
      <c r="E41">
        <v>1737</v>
      </c>
      <c r="F41">
        <v>869</v>
      </c>
      <c r="G41">
        <v>4271</v>
      </c>
      <c r="H41">
        <v>334</v>
      </c>
      <c r="I41">
        <v>240</v>
      </c>
      <c r="J41">
        <v>157.59259259000001</v>
      </c>
      <c r="K41" t="s">
        <v>285</v>
      </c>
      <c r="L41" t="s">
        <v>237</v>
      </c>
      <c r="M41">
        <v>2</v>
      </c>
      <c r="N41" t="s">
        <v>192</v>
      </c>
      <c r="O41" t="s">
        <v>193</v>
      </c>
      <c r="P41" t="s">
        <v>6</v>
      </c>
      <c r="Q41" t="s">
        <v>6</v>
      </c>
      <c r="R41">
        <f>sheet9[[#This Row],[sheet6.Quantity on Hand]]*sheet9[[#This Row],[Cost]]</f>
        <v>2509.4259259259261</v>
      </c>
      <c r="S41">
        <f>sheet9[[#This Row],[Quantity]]*sheet9[[#This Row],[Cost]]</f>
        <v>3764.1388888888891</v>
      </c>
      <c r="T41">
        <f>sheet9[[#This Row],[sheet8.Sales Amount]]-sheet9[[#This Row],[sheet8.Cost Amount]]</f>
        <v>82.40740740999999</v>
      </c>
      <c r="U41">
        <v>2</v>
      </c>
      <c r="V41" t="str">
        <f t="shared" si="1"/>
        <v>over stock</v>
      </c>
      <c r="W41">
        <f>sheet9[[#This Row],[sheet8.Sales Amount]]-sheet9[[#This Row],[sheet8.Cost Amount]]/sheet9[[#This Row],[sheet8.Sales Amount]]*100</f>
        <v>174.33641975416666</v>
      </c>
    </row>
    <row r="42" spans="1:23">
      <c r="A42">
        <v>531053</v>
      </c>
      <c r="B42" s="1">
        <v>43786.513206018521</v>
      </c>
      <c r="C42">
        <v>2</v>
      </c>
      <c r="D42">
        <v>1254.712962962963</v>
      </c>
      <c r="E42">
        <v>1737</v>
      </c>
      <c r="F42">
        <v>922</v>
      </c>
      <c r="G42">
        <v>4274</v>
      </c>
      <c r="H42">
        <v>38</v>
      </c>
      <c r="I42">
        <v>471</v>
      </c>
      <c r="J42">
        <v>371.11111111000002</v>
      </c>
      <c r="K42" t="s">
        <v>236</v>
      </c>
      <c r="L42" t="s">
        <v>229</v>
      </c>
      <c r="M42">
        <v>2</v>
      </c>
      <c r="N42" t="s">
        <v>198</v>
      </c>
      <c r="O42" t="s">
        <v>199</v>
      </c>
      <c r="P42" t="s">
        <v>4</v>
      </c>
      <c r="Q42" t="s">
        <v>4</v>
      </c>
      <c r="R42">
        <f>sheet9[[#This Row],[sheet6.Quantity on Hand]]*sheet9[[#This Row],[Cost]]</f>
        <v>2509.4259259259261</v>
      </c>
      <c r="S42">
        <f>sheet9[[#This Row],[Quantity]]*sheet9[[#This Row],[Cost]]</f>
        <v>2509.4259259259261</v>
      </c>
      <c r="T42">
        <f>sheet9[[#This Row],[sheet8.Sales Amount]]-sheet9[[#This Row],[sheet8.Cost Amount]]</f>
        <v>99.888888889999976</v>
      </c>
      <c r="U42">
        <v>2</v>
      </c>
      <c r="V42" t="str">
        <f t="shared" si="1"/>
        <v>over stock</v>
      </c>
      <c r="W42">
        <f>sheet9[[#This Row],[sheet8.Sales Amount]]-sheet9[[#This Row],[sheet8.Cost Amount]]/sheet9[[#This Row],[sheet8.Sales Amount]]*100</f>
        <v>392.20783203609341</v>
      </c>
    </row>
    <row r="43" spans="1:23">
      <c r="A43">
        <v>531448</v>
      </c>
      <c r="B43" s="1">
        <v>43522.93482638889</v>
      </c>
      <c r="C43">
        <v>1</v>
      </c>
      <c r="D43">
        <v>73.513513513513502</v>
      </c>
      <c r="E43">
        <v>115</v>
      </c>
      <c r="F43">
        <v>649</v>
      </c>
      <c r="G43">
        <v>4276</v>
      </c>
      <c r="H43">
        <v>308</v>
      </c>
      <c r="I43">
        <v>115</v>
      </c>
      <c r="J43">
        <v>73.513513513999996</v>
      </c>
      <c r="K43" t="s">
        <v>274</v>
      </c>
      <c r="L43" t="s">
        <v>237</v>
      </c>
      <c r="M43">
        <v>2</v>
      </c>
      <c r="N43" t="s">
        <v>32</v>
      </c>
      <c r="O43" t="s">
        <v>33</v>
      </c>
      <c r="P43" t="s">
        <v>4</v>
      </c>
      <c r="Q43" t="s">
        <v>4</v>
      </c>
      <c r="R43">
        <f>sheet9[[#This Row],[sheet6.Quantity on Hand]]*sheet9[[#This Row],[Cost]]</f>
        <v>147.027027027027</v>
      </c>
      <c r="S43">
        <f>sheet9[[#This Row],[Quantity]]*sheet9[[#This Row],[Cost]]</f>
        <v>73.513513513513502</v>
      </c>
      <c r="T43">
        <f>sheet9[[#This Row],[sheet8.Sales Amount]]-sheet9[[#This Row],[sheet8.Cost Amount]]</f>
        <v>41.486486486000004</v>
      </c>
      <c r="U43">
        <v>2</v>
      </c>
      <c r="V43" t="str">
        <f t="shared" si="1"/>
        <v>under stock</v>
      </c>
      <c r="W43">
        <f>sheet9[[#This Row],[sheet8.Sales Amount]]-sheet9[[#This Row],[sheet8.Cost Amount]]/sheet9[[#This Row],[sheet8.Sales Amount]]*100</f>
        <v>51.075205640000007</v>
      </c>
    </row>
    <row r="44" spans="1:23">
      <c r="A44">
        <v>531229</v>
      </c>
      <c r="B44" s="1">
        <v>43505.86482638889</v>
      </c>
      <c r="C44">
        <v>2</v>
      </c>
      <c r="D44">
        <v>459.05405405405401</v>
      </c>
      <c r="E44">
        <v>718.5</v>
      </c>
      <c r="F44">
        <v>845</v>
      </c>
      <c r="G44">
        <v>4275</v>
      </c>
      <c r="H44">
        <v>381</v>
      </c>
      <c r="I44">
        <v>1437</v>
      </c>
      <c r="J44">
        <v>918.10810810999999</v>
      </c>
      <c r="K44" t="s">
        <v>300</v>
      </c>
      <c r="L44" t="s">
        <v>237</v>
      </c>
      <c r="M44">
        <v>1</v>
      </c>
      <c r="N44" t="s">
        <v>80</v>
      </c>
      <c r="O44" t="s">
        <v>81</v>
      </c>
      <c r="P44" t="s">
        <v>5</v>
      </c>
      <c r="Q44" t="s">
        <v>5</v>
      </c>
      <c r="R44">
        <f>sheet9[[#This Row],[sheet6.Quantity on Hand]]*sheet9[[#This Row],[Cost]]</f>
        <v>459.05405405405401</v>
      </c>
      <c r="S44">
        <f>sheet9[[#This Row],[Quantity]]*sheet9[[#This Row],[Cost]]</f>
        <v>918.10810810810801</v>
      </c>
      <c r="T44">
        <f>sheet9[[#This Row],[sheet8.Sales Amount]]-sheet9[[#This Row],[sheet8.Cost Amount]]</f>
        <v>518.89189189000001</v>
      </c>
      <c r="U44">
        <v>2</v>
      </c>
      <c r="V44" t="str">
        <f t="shared" si="1"/>
        <v>over stock</v>
      </c>
      <c r="W44">
        <f>sheet9[[#This Row],[sheet8.Sales Amount]]-sheet9[[#This Row],[sheet8.Cost Amount]]/sheet9[[#This Row],[sheet8.Sales Amount]]*100</f>
        <v>1373.1093870487125</v>
      </c>
    </row>
    <row r="45" spans="1:23">
      <c r="A45">
        <v>530838</v>
      </c>
      <c r="B45" s="1">
        <v>44964.96738425926</v>
      </c>
      <c r="C45">
        <v>5</v>
      </c>
      <c r="D45">
        <v>36.738738738738739</v>
      </c>
      <c r="E45">
        <v>57.5</v>
      </c>
      <c r="F45">
        <v>164</v>
      </c>
      <c r="G45">
        <v>4272</v>
      </c>
      <c r="H45">
        <v>368</v>
      </c>
      <c r="I45">
        <v>287.5</v>
      </c>
      <c r="J45">
        <v>183.69369369</v>
      </c>
      <c r="K45" t="s">
        <v>294</v>
      </c>
      <c r="L45" t="s">
        <v>237</v>
      </c>
      <c r="M45">
        <v>2</v>
      </c>
      <c r="N45" t="s">
        <v>182</v>
      </c>
      <c r="O45" t="s">
        <v>183</v>
      </c>
      <c r="P45" t="s">
        <v>3</v>
      </c>
      <c r="Q45" t="s">
        <v>3</v>
      </c>
      <c r="R45">
        <f>sheet9[[#This Row],[sheet6.Quantity on Hand]]*sheet9[[#This Row],[Cost]]</f>
        <v>73.477477477477478</v>
      </c>
      <c r="S45">
        <f>sheet9[[#This Row],[Quantity]]*sheet9[[#This Row],[Cost]]</f>
        <v>183.69369369369369</v>
      </c>
      <c r="T45">
        <f>sheet9[[#This Row],[sheet8.Sales Amount]]-sheet9[[#This Row],[sheet8.Cost Amount]]</f>
        <v>103.80630631</v>
      </c>
      <c r="U45">
        <v>2</v>
      </c>
      <c r="V45" t="str">
        <f t="shared" si="1"/>
        <v>over stock</v>
      </c>
      <c r="W45">
        <f>sheet9[[#This Row],[sheet8.Sales Amount]]-sheet9[[#This Row],[sheet8.Cost Amount]]/sheet9[[#This Row],[sheet8.Sales Amount]]*100</f>
        <v>223.60654132521739</v>
      </c>
    </row>
    <row r="46" spans="1:23">
      <c r="A46">
        <v>522881</v>
      </c>
      <c r="B46" s="1">
        <v>44304.420486111114</v>
      </c>
      <c r="C46">
        <v>1</v>
      </c>
      <c r="D46">
        <v>42.128712871287128</v>
      </c>
      <c r="E46">
        <v>60</v>
      </c>
      <c r="F46">
        <v>889</v>
      </c>
      <c r="G46">
        <v>4215</v>
      </c>
      <c r="H46">
        <v>390</v>
      </c>
      <c r="I46">
        <v>60</v>
      </c>
      <c r="J46">
        <v>42.128712870999998</v>
      </c>
      <c r="K46" t="s">
        <v>303</v>
      </c>
      <c r="L46" t="s">
        <v>237</v>
      </c>
      <c r="M46">
        <v>2</v>
      </c>
      <c r="N46" t="s">
        <v>104</v>
      </c>
      <c r="O46" t="s">
        <v>105</v>
      </c>
      <c r="P46" t="s">
        <v>5</v>
      </c>
      <c r="Q46" t="s">
        <v>4</v>
      </c>
      <c r="R46">
        <f>sheet9[[#This Row],[sheet6.Quantity on Hand]]*sheet9[[#This Row],[Cost]]</f>
        <v>84.257425742574256</v>
      </c>
      <c r="S46">
        <f>sheet9[[#This Row],[Quantity]]*sheet9[[#This Row],[Cost]]</f>
        <v>42.128712871287128</v>
      </c>
      <c r="T46">
        <f>sheet9[[#This Row],[sheet8.Sales Amount]]-sheet9[[#This Row],[sheet8.Cost Amount]]</f>
        <v>17.871287129000002</v>
      </c>
      <c r="U46">
        <v>2</v>
      </c>
      <c r="V46" t="str">
        <f t="shared" si="1"/>
        <v>under stock</v>
      </c>
      <c r="W46">
        <f>sheet9[[#This Row],[sheet8.Sales Amount]]-sheet9[[#This Row],[sheet8.Cost Amount]]/sheet9[[#This Row],[sheet8.Sales Amount]]*100</f>
        <v>-10.21452145166667</v>
      </c>
    </row>
    <row r="47" spans="1:23">
      <c r="A47">
        <v>524947</v>
      </c>
      <c r="B47" s="1">
        <v>44341.163460648146</v>
      </c>
      <c r="C47">
        <v>1</v>
      </c>
      <c r="D47">
        <v>83.774509803921575</v>
      </c>
      <c r="E47">
        <v>120.5</v>
      </c>
      <c r="F47">
        <v>527</v>
      </c>
      <c r="G47">
        <v>4230</v>
      </c>
      <c r="H47">
        <v>183</v>
      </c>
      <c r="I47">
        <v>120.5</v>
      </c>
      <c r="J47">
        <v>83.774509804000004</v>
      </c>
      <c r="K47" t="s">
        <v>260</v>
      </c>
      <c r="L47" t="s">
        <v>237</v>
      </c>
      <c r="M47">
        <v>3</v>
      </c>
      <c r="N47" t="s">
        <v>118</v>
      </c>
      <c r="O47" t="s">
        <v>119</v>
      </c>
      <c r="P47" t="s">
        <v>5</v>
      </c>
      <c r="Q47" t="s">
        <v>5</v>
      </c>
      <c r="R47">
        <f>sheet9[[#This Row],[sheet6.Quantity on Hand]]*sheet9[[#This Row],[Cost]]</f>
        <v>251.32352941176472</v>
      </c>
      <c r="S47">
        <f>sheet9[[#This Row],[Quantity]]*sheet9[[#This Row],[Cost]]</f>
        <v>83.774509803921575</v>
      </c>
      <c r="T47">
        <f>sheet9[[#This Row],[sheet8.Sales Amount]]-sheet9[[#This Row],[sheet8.Cost Amount]]</f>
        <v>36.725490195999996</v>
      </c>
      <c r="U47">
        <v>2</v>
      </c>
      <c r="V47" t="str">
        <f t="shared" si="1"/>
        <v>under stock</v>
      </c>
      <c r="W47">
        <f>sheet9[[#This Row],[sheet8.Sales Amount]]-sheet9[[#This Row],[sheet8.Cost Amount]]/sheet9[[#This Row],[sheet8.Sales Amount]]*100</f>
        <v>50.977585224896259</v>
      </c>
    </row>
    <row r="48" spans="1:23">
      <c r="A48">
        <v>516004</v>
      </c>
      <c r="B48" s="1">
        <v>44328.425370370373</v>
      </c>
      <c r="C48">
        <v>1</v>
      </c>
      <c r="D48">
        <v>21.7843137254902</v>
      </c>
      <c r="E48">
        <v>28.5</v>
      </c>
      <c r="F48">
        <v>56</v>
      </c>
      <c r="G48">
        <v>4154</v>
      </c>
      <c r="H48">
        <v>1095</v>
      </c>
      <c r="I48">
        <v>28.5</v>
      </c>
      <c r="J48">
        <v>21.784313725000001</v>
      </c>
      <c r="K48" t="s">
        <v>343</v>
      </c>
      <c r="L48" t="s">
        <v>323</v>
      </c>
      <c r="M48">
        <v>3</v>
      </c>
      <c r="N48" t="s">
        <v>156</v>
      </c>
      <c r="O48" t="s">
        <v>157</v>
      </c>
      <c r="P48" t="s">
        <v>5</v>
      </c>
      <c r="Q48" t="s">
        <v>5</v>
      </c>
      <c r="R48">
        <f>sheet9[[#This Row],[sheet6.Quantity on Hand]]*sheet9[[#This Row],[Cost]]</f>
        <v>65.352941176470608</v>
      </c>
      <c r="S48">
        <f>sheet9[[#This Row],[Quantity]]*sheet9[[#This Row],[Cost]]</f>
        <v>21.7843137254902</v>
      </c>
      <c r="T48">
        <f>sheet9[[#This Row],[sheet8.Sales Amount]]-sheet9[[#This Row],[sheet8.Cost Amount]]</f>
        <v>6.7156862749999995</v>
      </c>
      <c r="U48">
        <v>2</v>
      </c>
      <c r="V48" t="str">
        <f t="shared" si="1"/>
        <v>under stock</v>
      </c>
      <c r="W48">
        <f>sheet9[[#This Row],[sheet8.Sales Amount]]-sheet9[[#This Row],[sheet8.Cost Amount]]/sheet9[[#This Row],[sheet8.Sales Amount]]*100</f>
        <v>-47.936188508771934</v>
      </c>
    </row>
    <row r="49" spans="1:23">
      <c r="A49">
        <v>522932</v>
      </c>
      <c r="B49" s="1">
        <v>44689.12296296296</v>
      </c>
      <c r="C49">
        <v>1</v>
      </c>
      <c r="D49">
        <v>405.38235294117652</v>
      </c>
      <c r="E49">
        <v>530</v>
      </c>
      <c r="F49">
        <v>897</v>
      </c>
      <c r="G49">
        <v>4216</v>
      </c>
      <c r="H49">
        <v>986</v>
      </c>
      <c r="I49">
        <v>530</v>
      </c>
      <c r="J49">
        <v>405.38235293999998</v>
      </c>
      <c r="K49" t="s">
        <v>324</v>
      </c>
      <c r="L49" t="s">
        <v>323</v>
      </c>
      <c r="M49">
        <v>1</v>
      </c>
      <c r="N49" t="s">
        <v>128</v>
      </c>
      <c r="O49" t="s">
        <v>129</v>
      </c>
      <c r="P49" t="s">
        <v>5</v>
      </c>
      <c r="Q49" t="s">
        <v>5</v>
      </c>
      <c r="R49">
        <f>sheet9[[#This Row],[sheet6.Quantity on Hand]]*sheet9[[#This Row],[Cost]]</f>
        <v>405.38235294117652</v>
      </c>
      <c r="S49">
        <f>sheet9[[#This Row],[Quantity]]*sheet9[[#This Row],[Cost]]</f>
        <v>405.38235294117652</v>
      </c>
      <c r="T49">
        <f>sheet9[[#This Row],[sheet8.Sales Amount]]-sheet9[[#This Row],[sheet8.Cost Amount]]</f>
        <v>124.61764706000002</v>
      </c>
      <c r="U49">
        <v>2</v>
      </c>
      <c r="V49" t="str">
        <f t="shared" si="1"/>
        <v>under stock</v>
      </c>
      <c r="W49">
        <f>sheet9[[#This Row],[sheet8.Sales Amount]]-sheet9[[#This Row],[sheet8.Cost Amount]]/sheet9[[#This Row],[sheet8.Sales Amount]]*100</f>
        <v>453.51276359622642</v>
      </c>
    </row>
    <row r="50" spans="1:23">
      <c r="A50">
        <v>530489</v>
      </c>
      <c r="B50" s="1">
        <v>43626.857534722221</v>
      </c>
      <c r="C50">
        <v>1</v>
      </c>
      <c r="D50">
        <v>126.0194174757282</v>
      </c>
      <c r="E50">
        <v>183</v>
      </c>
      <c r="F50">
        <v>318</v>
      </c>
      <c r="G50">
        <v>4270</v>
      </c>
      <c r="H50">
        <v>158</v>
      </c>
      <c r="I50">
        <v>183</v>
      </c>
      <c r="J50">
        <v>126.01941748</v>
      </c>
      <c r="K50" t="s">
        <v>254</v>
      </c>
      <c r="L50" t="s">
        <v>237</v>
      </c>
      <c r="M50">
        <v>2</v>
      </c>
      <c r="N50" t="s">
        <v>16</v>
      </c>
      <c r="O50" t="s">
        <v>17</v>
      </c>
      <c r="P50" t="s">
        <v>5</v>
      </c>
      <c r="Q50" t="s">
        <v>5</v>
      </c>
      <c r="R50">
        <f>sheet9[[#This Row],[sheet6.Quantity on Hand]]*sheet9[[#This Row],[Cost]]</f>
        <v>252.03883495145641</v>
      </c>
      <c r="S50">
        <f>sheet9[[#This Row],[Quantity]]*sheet9[[#This Row],[Cost]]</f>
        <v>126.0194174757282</v>
      </c>
      <c r="T50">
        <f>sheet9[[#This Row],[sheet8.Sales Amount]]-sheet9[[#This Row],[sheet8.Cost Amount]]</f>
        <v>56.980582519999999</v>
      </c>
      <c r="U50">
        <v>2</v>
      </c>
      <c r="V50" t="str">
        <f t="shared" si="1"/>
        <v>under stock</v>
      </c>
      <c r="W50">
        <f>sheet9[[#This Row],[sheet8.Sales Amount]]-sheet9[[#This Row],[sheet8.Cost Amount]]/sheet9[[#This Row],[sheet8.Sales Amount]]*100</f>
        <v>114.13693033879781</v>
      </c>
    </row>
    <row r="51" spans="1:23">
      <c r="A51">
        <v>522055</v>
      </c>
      <c r="B51" s="1">
        <v>44353.768217592595</v>
      </c>
      <c r="C51">
        <v>1</v>
      </c>
      <c r="D51">
        <v>41.310679611650478</v>
      </c>
      <c r="E51">
        <v>60</v>
      </c>
      <c r="F51">
        <v>895</v>
      </c>
      <c r="G51">
        <v>4208</v>
      </c>
      <c r="H51">
        <v>159</v>
      </c>
      <c r="I51">
        <v>60</v>
      </c>
      <c r="J51">
        <v>41.310679612000001</v>
      </c>
      <c r="K51" t="s">
        <v>255</v>
      </c>
      <c r="L51" t="s">
        <v>237</v>
      </c>
      <c r="M51">
        <v>3</v>
      </c>
      <c r="N51" t="s">
        <v>98</v>
      </c>
      <c r="O51" t="s">
        <v>99</v>
      </c>
      <c r="P51" t="s">
        <v>5</v>
      </c>
      <c r="Q51" t="s">
        <v>6</v>
      </c>
      <c r="R51">
        <f>sheet9[[#This Row],[sheet6.Quantity on Hand]]*sheet9[[#This Row],[Cost]]</f>
        <v>123.93203883495144</v>
      </c>
      <c r="S51">
        <f>sheet9[[#This Row],[Quantity]]*sheet9[[#This Row],[Cost]]</f>
        <v>41.310679611650478</v>
      </c>
      <c r="T51">
        <f>sheet9[[#This Row],[sheet8.Sales Amount]]-sheet9[[#This Row],[sheet8.Cost Amount]]</f>
        <v>18.689320387999999</v>
      </c>
      <c r="U51">
        <v>2</v>
      </c>
      <c r="V51" t="str">
        <f t="shared" si="1"/>
        <v>under stock</v>
      </c>
      <c r="W51">
        <f>sheet9[[#This Row],[sheet8.Sales Amount]]-sheet9[[#This Row],[sheet8.Cost Amount]]/sheet9[[#This Row],[sheet8.Sales Amount]]*100</f>
        <v>-8.8511326866666735</v>
      </c>
    </row>
    <row r="52" spans="1:23">
      <c r="A52">
        <v>520153</v>
      </c>
      <c r="B52" s="1">
        <v>44412.765856481485</v>
      </c>
      <c r="C52">
        <v>1</v>
      </c>
      <c r="D52">
        <v>72.807692307692307</v>
      </c>
      <c r="E52">
        <v>89</v>
      </c>
      <c r="F52">
        <v>270</v>
      </c>
      <c r="G52">
        <v>4189</v>
      </c>
      <c r="H52">
        <v>205</v>
      </c>
      <c r="I52">
        <v>89</v>
      </c>
      <c r="J52">
        <v>72.807692308</v>
      </c>
      <c r="K52" t="s">
        <v>267</v>
      </c>
      <c r="L52" t="s">
        <v>229</v>
      </c>
      <c r="M52">
        <v>3</v>
      </c>
      <c r="N52" t="s">
        <v>30</v>
      </c>
      <c r="O52" t="s">
        <v>31</v>
      </c>
      <c r="P52" t="s">
        <v>5</v>
      </c>
      <c r="Q52" t="s">
        <v>5</v>
      </c>
      <c r="R52">
        <f>sheet9[[#This Row],[sheet6.Quantity on Hand]]*sheet9[[#This Row],[Cost]]</f>
        <v>218.42307692307691</v>
      </c>
      <c r="S52">
        <f>sheet9[[#This Row],[Quantity]]*sheet9[[#This Row],[Cost]]</f>
        <v>72.807692307692307</v>
      </c>
      <c r="T52">
        <f>sheet9[[#This Row],[sheet8.Sales Amount]]-sheet9[[#This Row],[sheet8.Cost Amount]]</f>
        <v>16.192307692</v>
      </c>
      <c r="U52">
        <v>2</v>
      </c>
      <c r="V52" t="str">
        <f t="shared" si="1"/>
        <v>under stock</v>
      </c>
      <c r="W52">
        <f>sheet9[[#This Row],[sheet8.Sales Amount]]-sheet9[[#This Row],[sheet8.Cost Amount]]/sheet9[[#This Row],[sheet8.Sales Amount]]*100</f>
        <v>7.1936041483146056</v>
      </c>
    </row>
    <row r="53" spans="1:23">
      <c r="A53">
        <v>526624</v>
      </c>
      <c r="B53" s="1">
        <v>43595.109652777777</v>
      </c>
      <c r="C53">
        <v>1</v>
      </c>
      <c r="D53">
        <v>26.666666666666661</v>
      </c>
      <c r="E53">
        <v>115</v>
      </c>
      <c r="F53">
        <v>383</v>
      </c>
      <c r="G53">
        <v>4243</v>
      </c>
      <c r="H53">
        <v>1018</v>
      </c>
      <c r="I53">
        <v>297</v>
      </c>
      <c r="J53">
        <v>227.11764706</v>
      </c>
      <c r="K53" t="s">
        <v>334</v>
      </c>
      <c r="L53" t="s">
        <v>323</v>
      </c>
      <c r="M53">
        <v>2</v>
      </c>
      <c r="N53" t="s">
        <v>40</v>
      </c>
      <c r="O53" t="s">
        <v>41</v>
      </c>
      <c r="P53" t="s">
        <v>2</v>
      </c>
      <c r="Q53" t="s">
        <v>2</v>
      </c>
      <c r="R53">
        <f>sheet9[[#This Row],[sheet6.Quantity on Hand]]*sheet9[[#This Row],[Cost]]</f>
        <v>53.333333333333321</v>
      </c>
      <c r="S53">
        <f>sheet9[[#This Row],[Quantity]]*sheet9[[#This Row],[Cost]]</f>
        <v>26.666666666666661</v>
      </c>
      <c r="T53">
        <f>sheet9[[#This Row],[sheet8.Sales Amount]]-sheet9[[#This Row],[sheet8.Cost Amount]]</f>
        <v>69.882352940000004</v>
      </c>
      <c r="U53">
        <v>2</v>
      </c>
      <c r="V53" t="str">
        <f t="shared" si="1"/>
        <v>under stock</v>
      </c>
      <c r="W53">
        <f>sheet9[[#This Row],[sheet8.Sales Amount]]-sheet9[[#This Row],[sheet8.Cost Amount]]/sheet9[[#This Row],[sheet8.Sales Amount]]*100</f>
        <v>220.52941176430977</v>
      </c>
    </row>
    <row r="54" spans="1:23">
      <c r="A54">
        <v>527458</v>
      </c>
      <c r="B54" s="1">
        <v>44694.010462962964</v>
      </c>
      <c r="C54">
        <v>3</v>
      </c>
      <c r="D54">
        <v>83.431372549019613</v>
      </c>
      <c r="E54">
        <v>120</v>
      </c>
      <c r="F54">
        <v>305</v>
      </c>
      <c r="G54">
        <v>4249</v>
      </c>
      <c r="H54">
        <v>1069</v>
      </c>
      <c r="I54">
        <v>576</v>
      </c>
      <c r="J54">
        <v>440.53921568999999</v>
      </c>
      <c r="K54" t="s">
        <v>338</v>
      </c>
      <c r="L54" t="s">
        <v>323</v>
      </c>
      <c r="M54">
        <v>3</v>
      </c>
      <c r="N54" t="s">
        <v>90</v>
      </c>
      <c r="O54" t="s">
        <v>91</v>
      </c>
      <c r="P54" t="s">
        <v>2</v>
      </c>
      <c r="Q54" t="s">
        <v>2</v>
      </c>
      <c r="R54">
        <f>sheet9[[#This Row],[sheet6.Quantity on Hand]]*sheet9[[#This Row],[Cost]]</f>
        <v>250.29411764705884</v>
      </c>
      <c r="S54">
        <f>sheet9[[#This Row],[Quantity]]*sheet9[[#This Row],[Cost]]</f>
        <v>250.29411764705884</v>
      </c>
      <c r="T54">
        <f>sheet9[[#This Row],[sheet8.Sales Amount]]-sheet9[[#This Row],[sheet8.Cost Amount]]</f>
        <v>135.46078431000001</v>
      </c>
      <c r="U54">
        <v>2</v>
      </c>
      <c r="V54" t="str">
        <f t="shared" si="1"/>
        <v>over stock</v>
      </c>
      <c r="W54">
        <f>sheet9[[#This Row],[sheet8.Sales Amount]]-sheet9[[#This Row],[sheet8.Cost Amount]]/sheet9[[#This Row],[sheet8.Sales Amount]]*100</f>
        <v>499.51749727604169</v>
      </c>
    </row>
    <row r="55" spans="1:23">
      <c r="A55">
        <v>527825</v>
      </c>
      <c r="B55" s="1">
        <v>43595.820949074077</v>
      </c>
      <c r="C55">
        <v>2</v>
      </c>
      <c r="D55">
        <v>247.89215686274511</v>
      </c>
      <c r="E55">
        <v>356.5</v>
      </c>
      <c r="F55">
        <v>882</v>
      </c>
      <c r="G55">
        <v>4253</v>
      </c>
      <c r="H55">
        <v>1053</v>
      </c>
      <c r="I55">
        <v>114</v>
      </c>
      <c r="J55">
        <v>87.245098038999998</v>
      </c>
      <c r="K55" t="s">
        <v>327</v>
      </c>
      <c r="L55" t="s">
        <v>323</v>
      </c>
      <c r="M55">
        <v>3</v>
      </c>
      <c r="N55" t="s">
        <v>50</v>
      </c>
      <c r="O55" t="s">
        <v>51</v>
      </c>
      <c r="P55" t="s">
        <v>2</v>
      </c>
      <c r="Q55" t="s">
        <v>2</v>
      </c>
      <c r="R55">
        <f>sheet9[[#This Row],[sheet6.Quantity on Hand]]*sheet9[[#This Row],[Cost]]</f>
        <v>743.67647058823536</v>
      </c>
      <c r="S55">
        <f>sheet9[[#This Row],[Quantity]]*sheet9[[#This Row],[Cost]]</f>
        <v>495.78431372549022</v>
      </c>
      <c r="T55">
        <f>sheet9[[#This Row],[sheet8.Sales Amount]]-sheet9[[#This Row],[sheet8.Cost Amount]]</f>
        <v>26.754901961000002</v>
      </c>
      <c r="U55">
        <v>2</v>
      </c>
      <c r="V55" t="str">
        <f t="shared" si="1"/>
        <v>over stock</v>
      </c>
      <c r="W55">
        <f>sheet9[[#This Row],[sheet8.Sales Amount]]-sheet9[[#This Row],[sheet8.Cost Amount]]/sheet9[[#This Row],[sheet8.Sales Amount]]*100</f>
        <v>37.469212246491239</v>
      </c>
    </row>
    <row r="56" spans="1:23">
      <c r="A56">
        <v>526957</v>
      </c>
      <c r="B56" s="1">
        <v>44352.7731712963</v>
      </c>
      <c r="C56">
        <v>1</v>
      </c>
      <c r="D56">
        <v>55.480582524271853</v>
      </c>
      <c r="E56">
        <v>73.25</v>
      </c>
      <c r="F56">
        <v>149</v>
      </c>
      <c r="G56">
        <v>4246</v>
      </c>
      <c r="H56">
        <v>377</v>
      </c>
      <c r="I56">
        <v>49.5</v>
      </c>
      <c r="J56">
        <v>34.077669903</v>
      </c>
      <c r="K56" t="s">
        <v>297</v>
      </c>
      <c r="L56" t="s">
        <v>237</v>
      </c>
      <c r="M56">
        <v>1</v>
      </c>
      <c r="N56" t="s">
        <v>54</v>
      </c>
      <c r="O56" t="s">
        <v>55</v>
      </c>
      <c r="P56" t="s">
        <v>5</v>
      </c>
      <c r="Q56" t="s">
        <v>5</v>
      </c>
      <c r="R56">
        <f>sheet9[[#This Row],[sheet6.Quantity on Hand]]*sheet9[[#This Row],[Cost]]</f>
        <v>55.480582524271853</v>
      </c>
      <c r="S56">
        <f>sheet9[[#This Row],[Quantity]]*sheet9[[#This Row],[Cost]]</f>
        <v>55.480582524271853</v>
      </c>
      <c r="T56">
        <f>sheet9[[#This Row],[sheet8.Sales Amount]]-sheet9[[#This Row],[sheet8.Cost Amount]]</f>
        <v>15.422330097</v>
      </c>
      <c r="U56">
        <v>2</v>
      </c>
      <c r="V56" t="str">
        <f t="shared" si="1"/>
        <v>under stock</v>
      </c>
      <c r="W56">
        <f>sheet9[[#This Row],[sheet8.Sales Amount]]-sheet9[[#This Row],[sheet8.Cost Amount]]/sheet9[[#This Row],[sheet8.Sales Amount]]*100</f>
        <v>-19.343777581818173</v>
      </c>
    </row>
    <row r="57" spans="1:23">
      <c r="A57">
        <v>526402</v>
      </c>
      <c r="B57" s="1">
        <v>43987.902696759258</v>
      </c>
      <c r="C57">
        <v>2</v>
      </c>
      <c r="D57">
        <v>1315.6213592233009</v>
      </c>
      <c r="E57">
        <v>1737</v>
      </c>
      <c r="F57">
        <v>788</v>
      </c>
      <c r="G57">
        <v>4241</v>
      </c>
      <c r="H57">
        <v>1059</v>
      </c>
      <c r="I57">
        <v>3474</v>
      </c>
      <c r="J57">
        <v>2631.2427183999998</v>
      </c>
      <c r="K57" t="s">
        <v>331</v>
      </c>
      <c r="L57" t="s">
        <v>323</v>
      </c>
      <c r="M57">
        <v>3</v>
      </c>
      <c r="N57" t="s">
        <v>224</v>
      </c>
      <c r="O57" t="s">
        <v>225</v>
      </c>
      <c r="P57" t="s">
        <v>2</v>
      </c>
      <c r="Q57" t="s">
        <v>2</v>
      </c>
      <c r="R57">
        <f>sheet9[[#This Row],[sheet6.Quantity on Hand]]*sheet9[[#This Row],[Cost]]</f>
        <v>3946.8640776699031</v>
      </c>
      <c r="S57">
        <f>sheet9[[#This Row],[Quantity]]*sheet9[[#This Row],[Cost]]</f>
        <v>2631.2427184466019</v>
      </c>
      <c r="T57">
        <f>sheet9[[#This Row],[sheet8.Sales Amount]]-sheet9[[#This Row],[sheet8.Cost Amount]]</f>
        <v>842.75728160000017</v>
      </c>
      <c r="U57">
        <v>2</v>
      </c>
      <c r="V57" t="str">
        <f t="shared" si="1"/>
        <v>over stock</v>
      </c>
      <c r="W57">
        <f>sheet9[[#This Row],[sheet8.Sales Amount]]-sheet9[[#This Row],[sheet8.Cost Amount]]/sheet9[[#This Row],[sheet8.Sales Amount]]*100</f>
        <v>3398.2589891076568</v>
      </c>
    </row>
    <row r="58" spans="1:23">
      <c r="A58">
        <v>527778</v>
      </c>
      <c r="B58" s="1">
        <v>44724.974224537036</v>
      </c>
      <c r="C58">
        <v>3</v>
      </c>
      <c r="D58">
        <v>56.564956079519177</v>
      </c>
      <c r="E58">
        <v>115</v>
      </c>
      <c r="F58">
        <v>525</v>
      </c>
      <c r="G58">
        <v>4252</v>
      </c>
      <c r="H58">
        <v>1050</v>
      </c>
      <c r="I58">
        <v>2424</v>
      </c>
      <c r="J58">
        <v>1835.9320388000001</v>
      </c>
      <c r="K58" t="s">
        <v>336</v>
      </c>
      <c r="L58" t="s">
        <v>323</v>
      </c>
      <c r="M58">
        <v>2</v>
      </c>
      <c r="N58" t="s">
        <v>68</v>
      </c>
      <c r="O58" t="s">
        <v>69</v>
      </c>
      <c r="P58" t="s">
        <v>4</v>
      </c>
      <c r="Q58" t="s">
        <v>4</v>
      </c>
      <c r="R58">
        <f>sheet9[[#This Row],[sheet6.Quantity on Hand]]*sheet9[[#This Row],[Cost]]</f>
        <v>113.12991215903835</v>
      </c>
      <c r="S58">
        <f>sheet9[[#This Row],[Quantity]]*sheet9[[#This Row],[Cost]]</f>
        <v>169.69486823855755</v>
      </c>
      <c r="T58">
        <f>sheet9[[#This Row],[sheet8.Sales Amount]]-sheet9[[#This Row],[sheet8.Cost Amount]]</f>
        <v>588.0679611999999</v>
      </c>
      <c r="U58">
        <v>2</v>
      </c>
      <c r="V58" t="str">
        <f t="shared" si="1"/>
        <v>over stock</v>
      </c>
      <c r="W58">
        <f>sheet9[[#This Row],[sheet8.Sales Amount]]-sheet9[[#This Row],[sheet8.Cost Amount]]/sheet9[[#This Row],[sheet8.Sales Amount]]*100</f>
        <v>2348.2602294224421</v>
      </c>
    </row>
    <row r="59" spans="1:23">
      <c r="A59">
        <v>429833</v>
      </c>
      <c r="B59" s="1">
        <v>44790.778379629628</v>
      </c>
      <c r="C59">
        <v>3</v>
      </c>
      <c r="D59">
        <v>81.047619047619051</v>
      </c>
      <c r="E59">
        <v>120</v>
      </c>
      <c r="F59">
        <v>502</v>
      </c>
      <c r="G59">
        <v>3446</v>
      </c>
      <c r="H59">
        <v>327</v>
      </c>
      <c r="I59">
        <v>360</v>
      </c>
      <c r="J59">
        <v>243.14285713999999</v>
      </c>
      <c r="K59" t="s">
        <v>282</v>
      </c>
      <c r="L59" t="s">
        <v>237</v>
      </c>
      <c r="M59">
        <v>3</v>
      </c>
      <c r="N59" t="s">
        <v>142</v>
      </c>
      <c r="O59" t="s">
        <v>143</v>
      </c>
      <c r="P59" t="s">
        <v>2</v>
      </c>
      <c r="Q59" t="s">
        <v>2</v>
      </c>
      <c r="R59">
        <f>sheet9[[#This Row],[sheet6.Quantity on Hand]]*sheet9[[#This Row],[Cost]]</f>
        <v>243.14285714285717</v>
      </c>
      <c r="S59">
        <f>sheet9[[#This Row],[Quantity]]*sheet9[[#This Row],[Cost]]</f>
        <v>243.14285714285717</v>
      </c>
      <c r="T59">
        <f>sheet9[[#This Row],[sheet8.Sales Amount]]-sheet9[[#This Row],[sheet8.Cost Amount]]</f>
        <v>116.85714286000001</v>
      </c>
      <c r="U59">
        <v>2</v>
      </c>
      <c r="V59" t="str">
        <f t="shared" si="1"/>
        <v>over stock</v>
      </c>
      <c r="W59">
        <f>sheet9[[#This Row],[sheet8.Sales Amount]]-sheet9[[#This Row],[sheet8.Cost Amount]]/sheet9[[#This Row],[sheet8.Sales Amount]]*100</f>
        <v>292.46031746111112</v>
      </c>
    </row>
    <row r="60" spans="1:23">
      <c r="A60">
        <v>428795</v>
      </c>
      <c r="B60" s="1">
        <v>44418.604178240741</v>
      </c>
      <c r="C60">
        <v>2</v>
      </c>
      <c r="D60">
        <v>72.452380952380949</v>
      </c>
      <c r="E60">
        <v>107.25</v>
      </c>
      <c r="F60">
        <v>705</v>
      </c>
      <c r="G60">
        <v>3438</v>
      </c>
      <c r="H60">
        <v>163</v>
      </c>
      <c r="I60">
        <v>214.5</v>
      </c>
      <c r="J60">
        <v>144.90476190000001</v>
      </c>
      <c r="K60" t="s">
        <v>256</v>
      </c>
      <c r="L60" t="s">
        <v>237</v>
      </c>
      <c r="M60">
        <v>3</v>
      </c>
      <c r="N60" t="s">
        <v>208</v>
      </c>
      <c r="O60" t="s">
        <v>209</v>
      </c>
      <c r="P60" t="s">
        <v>3</v>
      </c>
      <c r="Q60" t="s">
        <v>3</v>
      </c>
      <c r="R60">
        <f>sheet9[[#This Row],[sheet6.Quantity on Hand]]*sheet9[[#This Row],[Cost]]</f>
        <v>217.35714285714283</v>
      </c>
      <c r="S60">
        <f>sheet9[[#This Row],[Quantity]]*sheet9[[#This Row],[Cost]]</f>
        <v>144.9047619047619</v>
      </c>
      <c r="T60">
        <f>sheet9[[#This Row],[sheet8.Sales Amount]]-sheet9[[#This Row],[sheet8.Cost Amount]]</f>
        <v>69.595238099999989</v>
      </c>
      <c r="U60">
        <v>2</v>
      </c>
      <c r="V60" t="str">
        <f t="shared" si="1"/>
        <v>over stock</v>
      </c>
      <c r="W60">
        <f>sheet9[[#This Row],[sheet8.Sales Amount]]-sheet9[[#This Row],[sheet8.Cost Amount]]/sheet9[[#This Row],[sheet8.Sales Amount]]*100</f>
        <v>146.94533244755246</v>
      </c>
    </row>
    <row r="61" spans="1:23">
      <c r="A61">
        <v>527209</v>
      </c>
      <c r="B61" s="1">
        <v>43569.042361111111</v>
      </c>
      <c r="C61">
        <v>1</v>
      </c>
      <c r="D61">
        <v>42.128712871287128</v>
      </c>
      <c r="E61">
        <v>120</v>
      </c>
      <c r="F61">
        <v>641</v>
      </c>
      <c r="G61">
        <v>4248</v>
      </c>
      <c r="H61">
        <v>1083</v>
      </c>
      <c r="I61">
        <v>1679</v>
      </c>
      <c r="J61">
        <v>1296.9108911000001</v>
      </c>
      <c r="K61" t="s">
        <v>340</v>
      </c>
      <c r="L61" t="s">
        <v>323</v>
      </c>
      <c r="M61">
        <v>3</v>
      </c>
      <c r="N61" t="s">
        <v>82</v>
      </c>
      <c r="O61" t="s">
        <v>83</v>
      </c>
      <c r="P61" t="s">
        <v>5</v>
      </c>
      <c r="Q61" t="s">
        <v>5</v>
      </c>
      <c r="R61">
        <f>sheet9[[#This Row],[sheet6.Quantity on Hand]]*sheet9[[#This Row],[Cost]]</f>
        <v>126.38613861386139</v>
      </c>
      <c r="S61">
        <f>sheet9[[#This Row],[Quantity]]*sheet9[[#This Row],[Cost]]</f>
        <v>42.128712871287128</v>
      </c>
      <c r="T61">
        <f>sheet9[[#This Row],[sheet8.Sales Amount]]-sheet9[[#This Row],[sheet8.Cost Amount]]</f>
        <v>382.08910889999993</v>
      </c>
      <c r="U61">
        <v>2</v>
      </c>
      <c r="V61" t="str">
        <f t="shared" si="1"/>
        <v>under stock</v>
      </c>
      <c r="W61">
        <f>sheet9[[#This Row],[sheet8.Sales Amount]]-sheet9[[#This Row],[sheet8.Cost Amount]]/sheet9[[#This Row],[sheet8.Sales Amount]]*100</f>
        <v>1601.7569451399643</v>
      </c>
    </row>
    <row r="62" spans="1:23">
      <c r="A62">
        <v>532205</v>
      </c>
      <c r="B62" s="1">
        <v>44474.177858796298</v>
      </c>
      <c r="C62">
        <v>2</v>
      </c>
      <c r="D62">
        <v>431.98130841121502</v>
      </c>
      <c r="E62">
        <v>592.5</v>
      </c>
      <c r="F62">
        <v>33</v>
      </c>
      <c r="G62">
        <v>4280</v>
      </c>
      <c r="H62">
        <v>118</v>
      </c>
      <c r="I62">
        <v>99</v>
      </c>
      <c r="J62">
        <v>21.869158879</v>
      </c>
      <c r="K62" t="s">
        <v>251</v>
      </c>
      <c r="L62" t="s">
        <v>249</v>
      </c>
      <c r="M62">
        <v>2</v>
      </c>
      <c r="N62" t="s">
        <v>56</v>
      </c>
      <c r="O62" t="s">
        <v>57</v>
      </c>
      <c r="P62" t="s">
        <v>6</v>
      </c>
      <c r="Q62" t="s">
        <v>6</v>
      </c>
      <c r="R62">
        <f>sheet9[[#This Row],[sheet6.Quantity on Hand]]*sheet9[[#This Row],[Cost]]</f>
        <v>863.96261682243005</v>
      </c>
      <c r="S62">
        <f>sheet9[[#This Row],[Quantity]]*sheet9[[#This Row],[Cost]]</f>
        <v>863.96261682243005</v>
      </c>
      <c r="T62">
        <f>sheet9[[#This Row],[sheet8.Sales Amount]]-sheet9[[#This Row],[sheet8.Cost Amount]]</f>
        <v>77.130841121000003</v>
      </c>
      <c r="U62">
        <v>2</v>
      </c>
      <c r="V62" t="str">
        <f t="shared" si="1"/>
        <v>over stock</v>
      </c>
      <c r="W62">
        <f>sheet9[[#This Row],[sheet8.Sales Amount]]-sheet9[[#This Row],[sheet8.Cost Amount]]/sheet9[[#This Row],[sheet8.Sales Amount]]*100</f>
        <v>76.909940526262631</v>
      </c>
    </row>
    <row r="63" spans="1:23">
      <c r="A63">
        <v>532658</v>
      </c>
      <c r="B63" s="1">
        <v>43504.349328703705</v>
      </c>
      <c r="C63">
        <v>3</v>
      </c>
      <c r="D63">
        <v>81.23123123123122</v>
      </c>
      <c r="E63">
        <v>178</v>
      </c>
      <c r="F63">
        <v>204</v>
      </c>
      <c r="G63">
        <v>4284</v>
      </c>
      <c r="H63">
        <v>184</v>
      </c>
      <c r="I63">
        <v>398</v>
      </c>
      <c r="J63">
        <v>254.32432431999999</v>
      </c>
      <c r="K63" t="s">
        <v>261</v>
      </c>
      <c r="L63" t="s">
        <v>237</v>
      </c>
      <c r="M63">
        <v>1</v>
      </c>
      <c r="N63" t="s">
        <v>144</v>
      </c>
      <c r="O63" t="s">
        <v>145</v>
      </c>
      <c r="P63" t="s">
        <v>6</v>
      </c>
      <c r="Q63" t="s">
        <v>6</v>
      </c>
      <c r="R63">
        <f>sheet9[[#This Row],[sheet6.Quantity on Hand]]*sheet9[[#This Row],[Cost]]</f>
        <v>81.23123123123122</v>
      </c>
      <c r="S63">
        <f>sheet9[[#This Row],[Quantity]]*sheet9[[#This Row],[Cost]]</f>
        <v>243.69369369369366</v>
      </c>
      <c r="T63">
        <f>sheet9[[#This Row],[sheet8.Sales Amount]]-sheet9[[#This Row],[sheet8.Cost Amount]]</f>
        <v>143.67567568000001</v>
      </c>
      <c r="U63">
        <v>2</v>
      </c>
      <c r="V63" t="str">
        <f t="shared" si="1"/>
        <v>over stock</v>
      </c>
      <c r="W63">
        <f>sheet9[[#This Row],[sheet8.Sales Amount]]-sheet9[[#This Row],[sheet8.Cost Amount]]/sheet9[[#This Row],[sheet8.Sales Amount]]*100</f>
        <v>334.09941600000002</v>
      </c>
    </row>
    <row r="64" spans="1:23">
      <c r="A64">
        <v>532876</v>
      </c>
      <c r="B64" s="1">
        <v>43511.073865740742</v>
      </c>
      <c r="C64">
        <v>2</v>
      </c>
      <c r="D64">
        <v>378.5585585585585</v>
      </c>
      <c r="E64">
        <v>592.5</v>
      </c>
      <c r="F64">
        <v>254</v>
      </c>
      <c r="G64">
        <v>4285</v>
      </c>
      <c r="H64">
        <v>188</v>
      </c>
      <c r="I64">
        <v>1185</v>
      </c>
      <c r="J64">
        <v>757.11711711999999</v>
      </c>
      <c r="K64" t="s">
        <v>264</v>
      </c>
      <c r="L64" t="s">
        <v>237</v>
      </c>
      <c r="M64">
        <v>1</v>
      </c>
      <c r="N64" t="s">
        <v>152</v>
      </c>
      <c r="O64" t="s">
        <v>153</v>
      </c>
      <c r="P64" t="s">
        <v>2</v>
      </c>
      <c r="Q64" t="s">
        <v>2</v>
      </c>
      <c r="R64">
        <f>sheet9[[#This Row],[sheet6.Quantity on Hand]]*sheet9[[#This Row],[Cost]]</f>
        <v>378.5585585585585</v>
      </c>
      <c r="S64">
        <f>sheet9[[#This Row],[Quantity]]*sheet9[[#This Row],[Cost]]</f>
        <v>757.117117117117</v>
      </c>
      <c r="T64">
        <f>sheet9[[#This Row],[sheet8.Sales Amount]]-sheet9[[#This Row],[sheet8.Cost Amount]]</f>
        <v>427.88288288000001</v>
      </c>
      <c r="U64">
        <v>2</v>
      </c>
      <c r="V64" t="str">
        <f t="shared" si="1"/>
        <v>over stock</v>
      </c>
      <c r="W64">
        <f>sheet9[[#This Row],[sheet8.Sales Amount]]-sheet9[[#This Row],[sheet8.Cost Amount]]/sheet9[[#This Row],[sheet8.Sales Amount]]*100</f>
        <v>1121.1082601586497</v>
      </c>
    </row>
    <row r="65" spans="1:23">
      <c r="A65">
        <v>533546</v>
      </c>
      <c r="B65" s="1">
        <v>43648.450231481482</v>
      </c>
      <c r="C65">
        <v>3</v>
      </c>
      <c r="D65">
        <v>35.792880258899672</v>
      </c>
      <c r="E65">
        <v>52</v>
      </c>
      <c r="F65">
        <v>630</v>
      </c>
      <c r="G65">
        <v>4288</v>
      </c>
      <c r="H65">
        <v>61</v>
      </c>
      <c r="I65">
        <v>156</v>
      </c>
      <c r="J65">
        <v>107.37864078</v>
      </c>
      <c r="K65" t="s">
        <v>241</v>
      </c>
      <c r="L65" t="s">
        <v>237</v>
      </c>
      <c r="M65">
        <v>3</v>
      </c>
      <c r="N65" t="s">
        <v>62</v>
      </c>
      <c r="O65" t="s">
        <v>63</v>
      </c>
      <c r="P65" t="s">
        <v>6</v>
      </c>
      <c r="Q65" t="s">
        <v>6</v>
      </c>
      <c r="R65">
        <f>sheet9[[#This Row],[sheet6.Quantity on Hand]]*sheet9[[#This Row],[Cost]]</f>
        <v>107.37864077669902</v>
      </c>
      <c r="S65">
        <f>sheet9[[#This Row],[Quantity]]*sheet9[[#This Row],[Cost]]</f>
        <v>107.37864077669902</v>
      </c>
      <c r="T65">
        <f>sheet9[[#This Row],[sheet8.Sales Amount]]-sheet9[[#This Row],[sheet8.Cost Amount]]</f>
        <v>48.621359220000002</v>
      </c>
      <c r="U65">
        <v>2</v>
      </c>
      <c r="V65" t="str">
        <f t="shared" si="1"/>
        <v>over stock</v>
      </c>
      <c r="W65">
        <f>sheet9[[#This Row],[sheet8.Sales Amount]]-sheet9[[#This Row],[sheet8.Cost Amount]]/sheet9[[#This Row],[sheet8.Sales Amount]]*100</f>
        <v>87.167537961538457</v>
      </c>
    </row>
    <row r="66" spans="1:23">
      <c r="A66">
        <v>533441</v>
      </c>
      <c r="B66" s="1">
        <v>44427.533495370371</v>
      </c>
      <c r="C66">
        <v>2</v>
      </c>
      <c r="D66">
        <v>81.047619047619037</v>
      </c>
      <c r="E66">
        <v>120</v>
      </c>
      <c r="F66">
        <v>24</v>
      </c>
      <c r="G66">
        <v>4287</v>
      </c>
      <c r="H66">
        <v>176</v>
      </c>
      <c r="I66">
        <v>240</v>
      </c>
      <c r="J66">
        <v>162.09523809999999</v>
      </c>
      <c r="K66" t="s">
        <v>258</v>
      </c>
      <c r="L66" t="s">
        <v>237</v>
      </c>
      <c r="M66">
        <v>2</v>
      </c>
      <c r="N66" t="s">
        <v>132</v>
      </c>
      <c r="O66" t="s">
        <v>133</v>
      </c>
      <c r="P66" t="s">
        <v>6</v>
      </c>
      <c r="Q66" t="s">
        <v>2</v>
      </c>
      <c r="R66">
        <f>sheet9[[#This Row],[sheet6.Quantity on Hand]]*sheet9[[#This Row],[Cost]]</f>
        <v>162.09523809523807</v>
      </c>
      <c r="S66">
        <f>sheet9[[#This Row],[Quantity]]*sheet9[[#This Row],[Cost]]</f>
        <v>162.09523809523807</v>
      </c>
      <c r="T66">
        <f>sheet9[[#This Row],[sheet8.Sales Amount]]-sheet9[[#This Row],[sheet8.Cost Amount]]</f>
        <v>77.904761900000011</v>
      </c>
      <c r="U66">
        <v>2</v>
      </c>
      <c r="V66" t="str">
        <f t="shared" ref="V66:V97" si="2">IF(C66=0,"out of stock",IF(C66&lt;U66,"under stock","over stock"))</f>
        <v>over stock</v>
      </c>
      <c r="W66">
        <f>sheet9[[#This Row],[sheet8.Sales Amount]]-sheet9[[#This Row],[sheet8.Cost Amount]]/sheet9[[#This Row],[sheet8.Sales Amount]]*100</f>
        <v>172.46031745833335</v>
      </c>
    </row>
    <row r="67" spans="1:23">
      <c r="A67">
        <v>443856</v>
      </c>
      <c r="B67" s="1">
        <v>44415.81585648148</v>
      </c>
      <c r="C67">
        <v>2</v>
      </c>
      <c r="D67">
        <v>783.46190476190486</v>
      </c>
      <c r="E67">
        <v>1054.5</v>
      </c>
      <c r="F67">
        <v>847</v>
      </c>
      <c r="G67">
        <v>3556</v>
      </c>
      <c r="H67">
        <v>1047</v>
      </c>
      <c r="I67">
        <v>482</v>
      </c>
      <c r="J67">
        <v>358.07619047999998</v>
      </c>
      <c r="K67" t="s">
        <v>335</v>
      </c>
      <c r="L67" t="s">
        <v>323</v>
      </c>
      <c r="M67">
        <v>3</v>
      </c>
      <c r="N67" t="s">
        <v>74</v>
      </c>
      <c r="O67" t="s">
        <v>75</v>
      </c>
      <c r="P67" t="s">
        <v>4</v>
      </c>
      <c r="Q67" t="s">
        <v>4</v>
      </c>
      <c r="R67">
        <f>sheet9[[#This Row],[sheet6.Quantity on Hand]]*sheet9[[#This Row],[Cost]]</f>
        <v>2350.3857142857146</v>
      </c>
      <c r="S67">
        <f>sheet9[[#This Row],[Quantity]]*sheet9[[#This Row],[Cost]]</f>
        <v>1566.9238095238097</v>
      </c>
      <c r="T67">
        <f>sheet9[[#This Row],[sheet8.Sales Amount]]-sheet9[[#This Row],[sheet8.Cost Amount]]</f>
        <v>123.92380952000002</v>
      </c>
      <c r="U67">
        <v>2</v>
      </c>
      <c r="V67" t="str">
        <f t="shared" si="2"/>
        <v>over stock</v>
      </c>
      <c r="W67">
        <f>sheet9[[#This Row],[sheet8.Sales Amount]]-sheet9[[#This Row],[sheet8.Cost Amount]]/sheet9[[#This Row],[sheet8.Sales Amount]]*100</f>
        <v>407.7103339253112</v>
      </c>
    </row>
    <row r="68" spans="1:23">
      <c r="A68">
        <v>445149</v>
      </c>
      <c r="B68" s="1">
        <v>44071.074814814812</v>
      </c>
      <c r="C68">
        <v>1</v>
      </c>
      <c r="D68">
        <v>81.400000000000006</v>
      </c>
      <c r="E68">
        <v>109.5</v>
      </c>
      <c r="F68">
        <v>642</v>
      </c>
      <c r="G68">
        <v>3567</v>
      </c>
      <c r="H68">
        <v>290</v>
      </c>
      <c r="I68">
        <v>360</v>
      </c>
      <c r="J68">
        <v>121.57142856999999</v>
      </c>
      <c r="K68" t="s">
        <v>271</v>
      </c>
      <c r="L68" t="s">
        <v>268</v>
      </c>
      <c r="M68">
        <v>2</v>
      </c>
      <c r="N68" t="s">
        <v>180</v>
      </c>
      <c r="O68" t="s">
        <v>181</v>
      </c>
      <c r="P68" t="s">
        <v>2</v>
      </c>
      <c r="Q68" t="s">
        <v>2</v>
      </c>
      <c r="R68">
        <f>sheet9[[#This Row],[sheet6.Quantity on Hand]]*sheet9[[#This Row],[Cost]]</f>
        <v>162.80000000000001</v>
      </c>
      <c r="S68">
        <f>sheet9[[#This Row],[Quantity]]*sheet9[[#This Row],[Cost]]</f>
        <v>81.400000000000006</v>
      </c>
      <c r="T68">
        <f>sheet9[[#This Row],[sheet8.Sales Amount]]-sheet9[[#This Row],[sheet8.Cost Amount]]</f>
        <v>238.42857143000001</v>
      </c>
      <c r="U68">
        <v>2</v>
      </c>
      <c r="V68" t="str">
        <f t="shared" si="2"/>
        <v>under stock</v>
      </c>
      <c r="W68">
        <f>sheet9[[#This Row],[sheet8.Sales Amount]]-sheet9[[#This Row],[sheet8.Cost Amount]]/sheet9[[#This Row],[sheet8.Sales Amount]]*100</f>
        <v>326.23015873055556</v>
      </c>
    </row>
    <row r="69" spans="1:23">
      <c r="A69">
        <v>446847</v>
      </c>
      <c r="B69" s="1">
        <v>43709.789479166669</v>
      </c>
      <c r="C69">
        <v>3</v>
      </c>
      <c r="D69">
        <v>186.8603174603175</v>
      </c>
      <c r="E69">
        <v>251.5</v>
      </c>
      <c r="F69">
        <v>326</v>
      </c>
      <c r="G69">
        <v>3581</v>
      </c>
      <c r="H69">
        <v>320</v>
      </c>
      <c r="I69">
        <v>171</v>
      </c>
      <c r="J69">
        <v>115.52380952</v>
      </c>
      <c r="K69" t="s">
        <v>278</v>
      </c>
      <c r="L69" t="s">
        <v>237</v>
      </c>
      <c r="M69">
        <v>2</v>
      </c>
      <c r="N69" t="s">
        <v>102</v>
      </c>
      <c r="O69" t="s">
        <v>103</v>
      </c>
      <c r="P69" t="s">
        <v>6</v>
      </c>
      <c r="Q69" t="s">
        <v>6</v>
      </c>
      <c r="R69">
        <f>sheet9[[#This Row],[sheet6.Quantity on Hand]]*sheet9[[#This Row],[Cost]]</f>
        <v>373.72063492063501</v>
      </c>
      <c r="S69">
        <f>sheet9[[#This Row],[Quantity]]*sheet9[[#This Row],[Cost]]</f>
        <v>560.58095238095257</v>
      </c>
      <c r="T69">
        <f>sheet9[[#This Row],[sheet8.Sales Amount]]-sheet9[[#This Row],[sheet8.Cost Amount]]</f>
        <v>55.47619048</v>
      </c>
      <c r="U69">
        <v>2</v>
      </c>
      <c r="V69" t="str">
        <f t="shared" si="2"/>
        <v>over stock</v>
      </c>
      <c r="W69">
        <f>sheet9[[#This Row],[sheet8.Sales Amount]]-sheet9[[#This Row],[sheet8.Cost Amount]]/sheet9[[#This Row],[sheet8.Sales Amount]]*100</f>
        <v>103.44221665497076</v>
      </c>
    </row>
    <row r="70" spans="1:23">
      <c r="A70">
        <v>446162</v>
      </c>
      <c r="B70" s="1">
        <v>44054.77480324074</v>
      </c>
      <c r="C70">
        <v>2</v>
      </c>
      <c r="D70">
        <v>845.90000000000009</v>
      </c>
      <c r="E70">
        <v>1138.5</v>
      </c>
      <c r="F70">
        <v>801</v>
      </c>
      <c r="G70">
        <v>3575</v>
      </c>
      <c r="H70">
        <v>171</v>
      </c>
      <c r="I70">
        <v>172.5</v>
      </c>
      <c r="J70">
        <v>116.47619048</v>
      </c>
      <c r="K70" t="s">
        <v>257</v>
      </c>
      <c r="L70" t="s">
        <v>237</v>
      </c>
      <c r="M70">
        <v>3</v>
      </c>
      <c r="N70" t="s">
        <v>124</v>
      </c>
      <c r="O70" t="s">
        <v>125</v>
      </c>
      <c r="P70" t="s">
        <v>5</v>
      </c>
      <c r="Q70" t="s">
        <v>5</v>
      </c>
      <c r="R70">
        <f>sheet9[[#This Row],[sheet6.Quantity on Hand]]*sheet9[[#This Row],[Cost]]</f>
        <v>2537.7000000000003</v>
      </c>
      <c r="S70">
        <f>sheet9[[#This Row],[Quantity]]*sheet9[[#This Row],[Cost]]</f>
        <v>1691.8000000000002</v>
      </c>
      <c r="T70">
        <f>sheet9[[#This Row],[sheet8.Sales Amount]]-sheet9[[#This Row],[sheet8.Cost Amount]]</f>
        <v>56.02380952</v>
      </c>
      <c r="U70">
        <v>2</v>
      </c>
      <c r="V70" t="str">
        <f t="shared" si="2"/>
        <v>over stock</v>
      </c>
      <c r="W70">
        <f>sheet9[[#This Row],[sheet8.Sales Amount]]-sheet9[[#This Row],[sheet8.Cost Amount]]/sheet9[[#This Row],[sheet8.Sales Amount]]*100</f>
        <v>104.97757073623188</v>
      </c>
    </row>
    <row r="71" spans="1:23">
      <c r="A71">
        <v>444206</v>
      </c>
      <c r="B71" s="1">
        <v>44064.244942129626</v>
      </c>
      <c r="C71">
        <v>5</v>
      </c>
      <c r="D71">
        <v>60.18571428571429</v>
      </c>
      <c r="E71">
        <v>81</v>
      </c>
      <c r="F71">
        <v>784</v>
      </c>
      <c r="G71">
        <v>3560</v>
      </c>
      <c r="H71">
        <v>325</v>
      </c>
      <c r="I71">
        <v>258.75</v>
      </c>
      <c r="J71">
        <v>174.76190475999999</v>
      </c>
      <c r="K71" t="s">
        <v>281</v>
      </c>
      <c r="L71" t="s">
        <v>237</v>
      </c>
      <c r="M71">
        <v>3</v>
      </c>
      <c r="N71" t="s">
        <v>70</v>
      </c>
      <c r="O71" t="s">
        <v>71</v>
      </c>
      <c r="P71" t="s">
        <v>3</v>
      </c>
      <c r="Q71" t="s">
        <v>3</v>
      </c>
      <c r="R71">
        <f>sheet9[[#This Row],[sheet6.Quantity on Hand]]*sheet9[[#This Row],[Cost]]</f>
        <v>180.55714285714288</v>
      </c>
      <c r="S71">
        <f>sheet9[[#This Row],[Quantity]]*sheet9[[#This Row],[Cost]]</f>
        <v>300.92857142857144</v>
      </c>
      <c r="T71">
        <f>sheet9[[#This Row],[sheet8.Sales Amount]]-sheet9[[#This Row],[sheet8.Cost Amount]]</f>
        <v>83.988095240000007</v>
      </c>
      <c r="U71">
        <v>2</v>
      </c>
      <c r="V71" t="str">
        <f t="shared" si="2"/>
        <v>over stock</v>
      </c>
      <c r="W71">
        <f>sheet9[[#This Row],[sheet8.Sales Amount]]-sheet9[[#This Row],[sheet8.Cost Amount]]/sheet9[[#This Row],[sheet8.Sales Amount]]*100</f>
        <v>191.20916724251208</v>
      </c>
    </row>
    <row r="72" spans="1:23">
      <c r="A72">
        <v>448834</v>
      </c>
      <c r="B72" s="1">
        <v>43691.513009259259</v>
      </c>
      <c r="C72">
        <v>2</v>
      </c>
      <c r="D72">
        <v>60.18571428571429</v>
      </c>
      <c r="E72">
        <v>81</v>
      </c>
      <c r="F72">
        <v>659</v>
      </c>
      <c r="G72">
        <v>3599</v>
      </c>
      <c r="H72">
        <v>384</v>
      </c>
      <c r="I72">
        <v>361.5</v>
      </c>
      <c r="J72">
        <v>244.19047619</v>
      </c>
      <c r="K72" t="s">
        <v>301</v>
      </c>
      <c r="L72" t="s">
        <v>237</v>
      </c>
      <c r="M72">
        <v>2</v>
      </c>
      <c r="N72" t="s">
        <v>200</v>
      </c>
      <c r="O72" t="s">
        <v>201</v>
      </c>
      <c r="P72" t="s">
        <v>3</v>
      </c>
      <c r="Q72" t="s">
        <v>3</v>
      </c>
      <c r="R72">
        <f>sheet9[[#This Row],[sheet6.Quantity on Hand]]*sheet9[[#This Row],[Cost]]</f>
        <v>120.37142857142858</v>
      </c>
      <c r="S72">
        <f>sheet9[[#This Row],[Quantity]]*sheet9[[#This Row],[Cost]]</f>
        <v>120.37142857142858</v>
      </c>
      <c r="T72">
        <f>sheet9[[#This Row],[sheet8.Sales Amount]]-sheet9[[#This Row],[sheet8.Cost Amount]]</f>
        <v>117.30952381</v>
      </c>
      <c r="U72">
        <v>2</v>
      </c>
      <c r="V72" t="str">
        <f t="shared" si="2"/>
        <v>over stock</v>
      </c>
      <c r="W72">
        <f>sheet9[[#This Row],[sheet8.Sales Amount]]-sheet9[[#This Row],[sheet8.Cost Amount]]/sheet9[[#This Row],[sheet8.Sales Amount]]*100</f>
        <v>293.95076730567081</v>
      </c>
    </row>
    <row r="73" spans="1:23">
      <c r="A73">
        <v>448390</v>
      </c>
      <c r="B73" s="1">
        <v>43573.447638888887</v>
      </c>
      <c r="C73">
        <v>2</v>
      </c>
      <c r="D73">
        <v>42.128712871287128</v>
      </c>
      <c r="E73">
        <v>120</v>
      </c>
      <c r="F73">
        <v>610</v>
      </c>
      <c r="G73">
        <v>3592</v>
      </c>
      <c r="H73">
        <v>739</v>
      </c>
      <c r="I73">
        <v>240</v>
      </c>
      <c r="J73">
        <v>84.257425742999999</v>
      </c>
      <c r="K73" t="s">
        <v>316</v>
      </c>
      <c r="L73" t="s">
        <v>268</v>
      </c>
      <c r="M73">
        <v>3</v>
      </c>
      <c r="N73" t="s">
        <v>164</v>
      </c>
      <c r="O73" t="s">
        <v>165</v>
      </c>
      <c r="P73" t="s">
        <v>5</v>
      </c>
      <c r="Q73" t="s">
        <v>5</v>
      </c>
      <c r="R73">
        <f>sheet9[[#This Row],[sheet6.Quantity on Hand]]*sheet9[[#This Row],[Cost]]</f>
        <v>126.38613861386139</v>
      </c>
      <c r="S73">
        <f>sheet9[[#This Row],[Quantity]]*sheet9[[#This Row],[Cost]]</f>
        <v>84.257425742574256</v>
      </c>
      <c r="T73">
        <f>sheet9[[#This Row],[sheet8.Sales Amount]]-sheet9[[#This Row],[sheet8.Cost Amount]]</f>
        <v>155.742574257</v>
      </c>
      <c r="U73">
        <v>2</v>
      </c>
      <c r="V73" t="str">
        <f t="shared" si="2"/>
        <v>over stock</v>
      </c>
      <c r="W73">
        <f>sheet9[[#This Row],[sheet8.Sales Amount]]-sheet9[[#This Row],[sheet8.Cost Amount]]/sheet9[[#This Row],[sheet8.Sales Amount]]*100</f>
        <v>204.89273927375001</v>
      </c>
    </row>
    <row r="74" spans="1:23">
      <c r="A74">
        <v>445304</v>
      </c>
      <c r="B74" s="1">
        <v>43624.094652777778</v>
      </c>
      <c r="C74">
        <v>2</v>
      </c>
      <c r="D74">
        <v>74.970873786407779</v>
      </c>
      <c r="E74">
        <v>99</v>
      </c>
      <c r="F74">
        <v>932</v>
      </c>
      <c r="G74">
        <v>3568</v>
      </c>
      <c r="H74">
        <v>185</v>
      </c>
      <c r="I74">
        <v>414</v>
      </c>
      <c r="J74">
        <v>285.04854368999997</v>
      </c>
      <c r="K74" t="s">
        <v>262</v>
      </c>
      <c r="L74" t="s">
        <v>237</v>
      </c>
      <c r="M74">
        <v>1</v>
      </c>
      <c r="N74" t="s">
        <v>112</v>
      </c>
      <c r="O74" t="s">
        <v>113</v>
      </c>
      <c r="P74" t="s">
        <v>6</v>
      </c>
      <c r="Q74" t="s">
        <v>6</v>
      </c>
      <c r="R74">
        <f>sheet9[[#This Row],[sheet6.Quantity on Hand]]*sheet9[[#This Row],[Cost]]</f>
        <v>74.970873786407779</v>
      </c>
      <c r="S74">
        <f>sheet9[[#This Row],[Quantity]]*sheet9[[#This Row],[Cost]]</f>
        <v>149.94174757281556</v>
      </c>
      <c r="T74">
        <f>sheet9[[#This Row],[sheet8.Sales Amount]]-sheet9[[#This Row],[sheet8.Cost Amount]]</f>
        <v>128.95145631000003</v>
      </c>
      <c r="U74">
        <v>2</v>
      </c>
      <c r="V74" t="str">
        <f t="shared" si="2"/>
        <v>over stock</v>
      </c>
      <c r="W74">
        <f>sheet9[[#This Row],[sheet8.Sales Amount]]-sheet9[[#This Row],[sheet8.Cost Amount]]/sheet9[[#This Row],[sheet8.Sales Amount]]*100</f>
        <v>345.14769476086957</v>
      </c>
    </row>
    <row r="75" spans="1:23">
      <c r="A75">
        <v>446309</v>
      </c>
      <c r="B75" s="1">
        <v>44356.128958333335</v>
      </c>
      <c r="C75">
        <v>2</v>
      </c>
      <c r="D75">
        <v>90.883495145631059</v>
      </c>
      <c r="E75">
        <v>120</v>
      </c>
      <c r="F75">
        <v>267</v>
      </c>
      <c r="G75">
        <v>3576</v>
      </c>
      <c r="H75">
        <v>510</v>
      </c>
      <c r="I75">
        <v>115</v>
      </c>
      <c r="J75">
        <v>56.588072122</v>
      </c>
      <c r="K75" t="s">
        <v>312</v>
      </c>
      <c r="L75" t="s">
        <v>310</v>
      </c>
      <c r="M75">
        <v>2</v>
      </c>
      <c r="N75" t="s">
        <v>38</v>
      </c>
      <c r="O75" t="s">
        <v>39</v>
      </c>
      <c r="P75" t="s">
        <v>2</v>
      </c>
      <c r="Q75" t="s">
        <v>2</v>
      </c>
      <c r="R75">
        <f>sheet9[[#This Row],[sheet6.Quantity on Hand]]*sheet9[[#This Row],[Cost]]</f>
        <v>181.76699029126212</v>
      </c>
      <c r="S75">
        <f>sheet9[[#This Row],[Quantity]]*sheet9[[#This Row],[Cost]]</f>
        <v>181.76699029126212</v>
      </c>
      <c r="T75">
        <f>sheet9[[#This Row],[sheet8.Sales Amount]]-sheet9[[#This Row],[sheet8.Cost Amount]]</f>
        <v>58.411927878</v>
      </c>
      <c r="U75">
        <v>2</v>
      </c>
      <c r="V75" t="str">
        <f t="shared" si="2"/>
        <v>over stock</v>
      </c>
      <c r="W75">
        <f>sheet9[[#This Row],[sheet8.Sales Amount]]-sheet9[[#This Row],[sheet8.Cost Amount]]/sheet9[[#This Row],[sheet8.Sales Amount]]*100</f>
        <v>65.792980763478255</v>
      </c>
    </row>
    <row r="76" spans="1:23">
      <c r="A76">
        <v>448371</v>
      </c>
      <c r="B76" s="1">
        <v>44739.333194444444</v>
      </c>
      <c r="C76">
        <v>2</v>
      </c>
      <c r="D76">
        <v>130.6650485436893</v>
      </c>
      <c r="E76">
        <v>172.5</v>
      </c>
      <c r="F76">
        <v>538</v>
      </c>
      <c r="G76">
        <v>3591</v>
      </c>
      <c r="H76">
        <v>976</v>
      </c>
      <c r="I76">
        <v>545</v>
      </c>
      <c r="J76">
        <v>125.08090615</v>
      </c>
      <c r="K76" t="s">
        <v>322</v>
      </c>
      <c r="L76" t="s">
        <v>249</v>
      </c>
      <c r="M76">
        <v>2</v>
      </c>
      <c r="N76" t="s">
        <v>184</v>
      </c>
      <c r="O76" t="s">
        <v>185</v>
      </c>
      <c r="P76" t="s">
        <v>2</v>
      </c>
      <c r="Q76" t="s">
        <v>2</v>
      </c>
      <c r="R76">
        <f>sheet9[[#This Row],[sheet6.Quantity on Hand]]*sheet9[[#This Row],[Cost]]</f>
        <v>261.33009708737859</v>
      </c>
      <c r="S76">
        <f>sheet9[[#This Row],[Quantity]]*sheet9[[#This Row],[Cost]]</f>
        <v>261.33009708737859</v>
      </c>
      <c r="T76">
        <f>sheet9[[#This Row],[sheet8.Sales Amount]]-sheet9[[#This Row],[sheet8.Cost Amount]]</f>
        <v>419.91909384999997</v>
      </c>
      <c r="U76">
        <v>2</v>
      </c>
      <c r="V76" t="str">
        <f t="shared" si="2"/>
        <v>over stock</v>
      </c>
      <c r="W76">
        <f>sheet9[[#This Row],[sheet8.Sales Amount]]-sheet9[[#This Row],[sheet8.Cost Amount]]/sheet9[[#This Row],[sheet8.Sales Amount]]*100</f>
        <v>522.04937501834866</v>
      </c>
    </row>
    <row r="77" spans="1:23">
      <c r="A77">
        <v>449885</v>
      </c>
      <c r="B77" s="1">
        <v>44408.118101851855</v>
      </c>
      <c r="C77">
        <v>3</v>
      </c>
      <c r="D77">
        <v>482.82051282051287</v>
      </c>
      <c r="E77">
        <v>708</v>
      </c>
      <c r="F77">
        <v>438</v>
      </c>
      <c r="G77">
        <v>3606</v>
      </c>
      <c r="H77">
        <v>89</v>
      </c>
      <c r="I77">
        <v>2124</v>
      </c>
      <c r="J77">
        <v>1448.4615385</v>
      </c>
      <c r="K77" t="s">
        <v>247</v>
      </c>
      <c r="L77" t="s">
        <v>237</v>
      </c>
      <c r="M77">
        <v>1</v>
      </c>
      <c r="N77" t="s">
        <v>204</v>
      </c>
      <c r="O77" t="s">
        <v>205</v>
      </c>
      <c r="P77" t="s">
        <v>4</v>
      </c>
      <c r="Q77" t="s">
        <v>2</v>
      </c>
      <c r="R77">
        <f>sheet9[[#This Row],[sheet6.Quantity on Hand]]*sheet9[[#This Row],[Cost]]</f>
        <v>482.82051282051287</v>
      </c>
      <c r="S77">
        <f>sheet9[[#This Row],[Quantity]]*sheet9[[#This Row],[Cost]]</f>
        <v>1448.4615384615386</v>
      </c>
      <c r="T77">
        <f>sheet9[[#This Row],[sheet8.Sales Amount]]-sheet9[[#This Row],[sheet8.Cost Amount]]</f>
        <v>675.53846150000004</v>
      </c>
      <c r="U77">
        <v>2</v>
      </c>
      <c r="V77" t="str">
        <f t="shared" si="2"/>
        <v>over stock</v>
      </c>
      <c r="W77">
        <f>sheet9[[#This Row],[sheet8.Sales Amount]]-sheet9[[#This Row],[sheet8.Cost Amount]]/sheet9[[#This Row],[sheet8.Sales Amount]]*100</f>
        <v>2055.8050123116759</v>
      </c>
    </row>
    <row r="78" spans="1:23">
      <c r="A78">
        <v>448744</v>
      </c>
      <c r="B78" s="1">
        <v>44379.434374999997</v>
      </c>
      <c r="C78">
        <v>3</v>
      </c>
      <c r="D78">
        <v>317.93203883495153</v>
      </c>
      <c r="E78">
        <v>419.75</v>
      </c>
      <c r="F78">
        <v>885</v>
      </c>
      <c r="G78">
        <v>3598</v>
      </c>
      <c r="H78">
        <v>890</v>
      </c>
      <c r="I78">
        <v>287.5</v>
      </c>
      <c r="J78">
        <v>65.987055015999999</v>
      </c>
      <c r="K78" t="s">
        <v>320</v>
      </c>
      <c r="L78" t="s">
        <v>249</v>
      </c>
      <c r="M78">
        <v>2</v>
      </c>
      <c r="N78" t="s">
        <v>130</v>
      </c>
      <c r="O78" t="s">
        <v>131</v>
      </c>
      <c r="P78" t="s">
        <v>3</v>
      </c>
      <c r="Q78" t="s">
        <v>5</v>
      </c>
      <c r="R78">
        <f>sheet9[[#This Row],[sheet6.Quantity on Hand]]*sheet9[[#This Row],[Cost]]</f>
        <v>635.86407766990305</v>
      </c>
      <c r="S78">
        <f>sheet9[[#This Row],[Quantity]]*sheet9[[#This Row],[Cost]]</f>
        <v>953.79611650485458</v>
      </c>
      <c r="T78">
        <f>sheet9[[#This Row],[sheet8.Sales Amount]]-sheet9[[#This Row],[sheet8.Cost Amount]]</f>
        <v>221.512944984</v>
      </c>
      <c r="U78">
        <v>2</v>
      </c>
      <c r="V78" t="str">
        <f t="shared" si="2"/>
        <v>over stock</v>
      </c>
      <c r="W78">
        <f>sheet9[[#This Row],[sheet8.Sales Amount]]-sheet9[[#This Row],[sheet8.Cost Amount]]/sheet9[[#This Row],[sheet8.Sales Amount]]*100</f>
        <v>264.54798086400001</v>
      </c>
    </row>
    <row r="79" spans="1:23">
      <c r="A79">
        <v>446052</v>
      </c>
      <c r="B79" s="1">
        <v>44021.782731481479</v>
      </c>
      <c r="C79">
        <v>2</v>
      </c>
      <c r="D79">
        <v>428.68269230769232</v>
      </c>
      <c r="E79">
        <v>571.5</v>
      </c>
      <c r="F79">
        <v>544</v>
      </c>
      <c r="G79">
        <v>3574</v>
      </c>
      <c r="H79">
        <v>294</v>
      </c>
      <c r="I79">
        <v>172.5</v>
      </c>
      <c r="J79">
        <v>58.798076923000004</v>
      </c>
      <c r="K79" t="s">
        <v>272</v>
      </c>
      <c r="L79" t="s">
        <v>268</v>
      </c>
      <c r="M79">
        <v>2</v>
      </c>
      <c r="N79" t="s">
        <v>24</v>
      </c>
      <c r="O79" t="s">
        <v>25</v>
      </c>
      <c r="P79" t="s">
        <v>2</v>
      </c>
      <c r="Q79" t="s">
        <v>2</v>
      </c>
      <c r="R79">
        <f>sheet9[[#This Row],[sheet6.Quantity on Hand]]*sheet9[[#This Row],[Cost]]</f>
        <v>857.36538461538464</v>
      </c>
      <c r="S79">
        <f>sheet9[[#This Row],[Quantity]]*sheet9[[#This Row],[Cost]]</f>
        <v>857.36538461538464</v>
      </c>
      <c r="T79">
        <f>sheet9[[#This Row],[sheet8.Sales Amount]]-sheet9[[#This Row],[sheet8.Cost Amount]]</f>
        <v>113.701923077</v>
      </c>
      <c r="U79">
        <v>2</v>
      </c>
      <c r="V79" t="str">
        <f t="shared" si="2"/>
        <v>over stock</v>
      </c>
      <c r="W79">
        <f>sheet9[[#This Row],[sheet8.Sales Amount]]-sheet9[[#This Row],[sheet8.Cost Amount]]/sheet9[[#This Row],[sheet8.Sales Amount]]*100</f>
        <v>138.41415830550724</v>
      </c>
    </row>
    <row r="80" spans="1:23">
      <c r="A80">
        <v>448466</v>
      </c>
      <c r="B80" s="1">
        <v>43932.688263888886</v>
      </c>
      <c r="C80">
        <v>2</v>
      </c>
      <c r="D80">
        <v>127.6633663366337</v>
      </c>
      <c r="E80">
        <v>151.5</v>
      </c>
      <c r="F80">
        <v>16</v>
      </c>
      <c r="G80">
        <v>3593</v>
      </c>
      <c r="H80">
        <v>462</v>
      </c>
      <c r="I80">
        <v>303</v>
      </c>
      <c r="J80">
        <v>255.32673267000001</v>
      </c>
      <c r="K80" t="s">
        <v>308</v>
      </c>
      <c r="L80" t="s">
        <v>229</v>
      </c>
      <c r="M80">
        <v>1</v>
      </c>
      <c r="N80" t="s">
        <v>190</v>
      </c>
      <c r="O80" t="s">
        <v>191</v>
      </c>
      <c r="P80" t="s">
        <v>6</v>
      </c>
      <c r="Q80" t="s">
        <v>6</v>
      </c>
      <c r="R80">
        <f>sheet9[[#This Row],[sheet6.Quantity on Hand]]*sheet9[[#This Row],[Cost]]</f>
        <v>127.6633663366337</v>
      </c>
      <c r="S80">
        <f>sheet9[[#This Row],[Quantity]]*sheet9[[#This Row],[Cost]]</f>
        <v>255.3267326732674</v>
      </c>
      <c r="T80">
        <f>sheet9[[#This Row],[sheet8.Sales Amount]]-sheet9[[#This Row],[sheet8.Cost Amount]]</f>
        <v>47.673267329999987</v>
      </c>
      <c r="U80">
        <v>2</v>
      </c>
      <c r="V80" t="str">
        <f t="shared" si="2"/>
        <v>over stock</v>
      </c>
      <c r="W80">
        <f>sheet9[[#This Row],[sheet8.Sales Amount]]-sheet9[[#This Row],[sheet8.Cost Amount]]/sheet9[[#This Row],[sheet8.Sales Amount]]*100</f>
        <v>218.73375159405941</v>
      </c>
    </row>
    <row r="81" spans="1:23">
      <c r="A81">
        <v>447324</v>
      </c>
      <c r="B81" s="1">
        <v>43641.833136574074</v>
      </c>
      <c r="C81">
        <v>2</v>
      </c>
      <c r="D81">
        <v>82.927184466019426</v>
      </c>
      <c r="E81">
        <v>109.5</v>
      </c>
      <c r="F81">
        <v>766</v>
      </c>
      <c r="G81">
        <v>3584</v>
      </c>
      <c r="H81">
        <v>275</v>
      </c>
      <c r="I81">
        <v>125</v>
      </c>
      <c r="J81">
        <v>43.058252426999999</v>
      </c>
      <c r="K81" t="s">
        <v>270</v>
      </c>
      <c r="L81" t="s">
        <v>268</v>
      </c>
      <c r="M81">
        <v>3</v>
      </c>
      <c r="N81" t="s">
        <v>226</v>
      </c>
      <c r="O81" t="s">
        <v>227</v>
      </c>
      <c r="P81" t="s">
        <v>5</v>
      </c>
      <c r="Q81" t="s">
        <v>5</v>
      </c>
      <c r="R81">
        <f>sheet9[[#This Row],[sheet6.Quantity on Hand]]*sheet9[[#This Row],[Cost]]</f>
        <v>248.78155339805829</v>
      </c>
      <c r="S81">
        <f>sheet9[[#This Row],[Quantity]]*sheet9[[#This Row],[Cost]]</f>
        <v>165.85436893203885</v>
      </c>
      <c r="T81">
        <f>sheet9[[#This Row],[sheet8.Sales Amount]]-sheet9[[#This Row],[sheet8.Cost Amount]]</f>
        <v>81.941747573000001</v>
      </c>
      <c r="U81">
        <v>2</v>
      </c>
      <c r="V81" t="str">
        <f t="shared" si="2"/>
        <v>over stock</v>
      </c>
      <c r="W81">
        <f>sheet9[[#This Row],[sheet8.Sales Amount]]-sheet9[[#This Row],[sheet8.Cost Amount]]/sheet9[[#This Row],[sheet8.Sales Amount]]*100</f>
        <v>90.553398058400006</v>
      </c>
    </row>
    <row r="82" spans="1:23">
      <c r="A82">
        <v>449201</v>
      </c>
      <c r="B82" s="1">
        <v>44011.7578125</v>
      </c>
      <c r="C82">
        <v>1</v>
      </c>
      <c r="D82">
        <v>1315.6213592233009</v>
      </c>
      <c r="E82">
        <v>1737</v>
      </c>
      <c r="F82">
        <v>687</v>
      </c>
      <c r="G82">
        <v>3602</v>
      </c>
      <c r="H82">
        <v>322</v>
      </c>
      <c r="I82">
        <v>125</v>
      </c>
      <c r="J82">
        <v>86.116504853999999</v>
      </c>
      <c r="K82" t="s">
        <v>280</v>
      </c>
      <c r="L82" t="s">
        <v>237</v>
      </c>
      <c r="M82">
        <v>2</v>
      </c>
      <c r="N82" t="s">
        <v>114</v>
      </c>
      <c r="O82" t="s">
        <v>115</v>
      </c>
      <c r="P82" t="s">
        <v>6</v>
      </c>
      <c r="Q82" t="s">
        <v>2</v>
      </c>
      <c r="R82">
        <f>sheet9[[#This Row],[sheet6.Quantity on Hand]]*sheet9[[#This Row],[Cost]]</f>
        <v>2631.2427184466019</v>
      </c>
      <c r="S82">
        <f>sheet9[[#This Row],[Quantity]]*sheet9[[#This Row],[Cost]]</f>
        <v>1315.6213592233009</v>
      </c>
      <c r="T82">
        <f>sheet9[[#This Row],[sheet8.Sales Amount]]-sheet9[[#This Row],[sheet8.Cost Amount]]</f>
        <v>38.883495146000001</v>
      </c>
      <c r="U82">
        <v>2</v>
      </c>
      <c r="V82" t="str">
        <f t="shared" si="2"/>
        <v>under stock</v>
      </c>
      <c r="W82">
        <f>sheet9[[#This Row],[sheet8.Sales Amount]]-sheet9[[#This Row],[sheet8.Cost Amount]]/sheet9[[#This Row],[sheet8.Sales Amount]]*100</f>
        <v>56.106796116800012</v>
      </c>
    </row>
    <row r="83" spans="1:23">
      <c r="A83">
        <v>444972</v>
      </c>
      <c r="B83" s="1">
        <v>44966.907372685186</v>
      </c>
      <c r="C83">
        <v>3</v>
      </c>
      <c r="D83">
        <v>295.01801801801798</v>
      </c>
      <c r="E83">
        <v>419.75</v>
      </c>
      <c r="F83">
        <v>972</v>
      </c>
      <c r="G83">
        <v>3565</v>
      </c>
      <c r="H83">
        <v>104</v>
      </c>
      <c r="I83">
        <v>115</v>
      </c>
      <c r="J83">
        <v>24.489489489</v>
      </c>
      <c r="K83" t="s">
        <v>250</v>
      </c>
      <c r="L83" t="s">
        <v>249</v>
      </c>
      <c r="M83">
        <v>2</v>
      </c>
      <c r="N83" t="s">
        <v>108</v>
      </c>
      <c r="O83" t="s">
        <v>109</v>
      </c>
      <c r="P83" t="s">
        <v>3</v>
      </c>
      <c r="Q83" t="s">
        <v>3</v>
      </c>
      <c r="R83">
        <f>sheet9[[#This Row],[sheet6.Quantity on Hand]]*sheet9[[#This Row],[Cost]]</f>
        <v>590.03603603603597</v>
      </c>
      <c r="S83">
        <f>sheet9[[#This Row],[Quantity]]*sheet9[[#This Row],[Cost]]</f>
        <v>885.05405405405395</v>
      </c>
      <c r="T83">
        <f>sheet9[[#This Row],[sheet8.Sales Amount]]-sheet9[[#This Row],[sheet8.Cost Amount]]</f>
        <v>90.510510511000007</v>
      </c>
      <c r="U83">
        <v>2</v>
      </c>
      <c r="V83" t="str">
        <f t="shared" si="2"/>
        <v>over stock</v>
      </c>
      <c r="W83">
        <f>sheet9[[#This Row],[sheet8.Sales Amount]]-sheet9[[#This Row],[sheet8.Cost Amount]]/sheet9[[#This Row],[sheet8.Sales Amount]]*100</f>
        <v>93.704791748695655</v>
      </c>
    </row>
    <row r="84" spans="1:23">
      <c r="A84">
        <v>450092</v>
      </c>
      <c r="B84" s="1">
        <v>44804.303206018521</v>
      </c>
      <c r="C84">
        <v>1</v>
      </c>
      <c r="D84">
        <v>50.628571428571433</v>
      </c>
      <c r="E84">
        <v>62.5</v>
      </c>
      <c r="F84">
        <v>674</v>
      </c>
      <c r="G84">
        <v>3608</v>
      </c>
      <c r="H84">
        <v>470</v>
      </c>
      <c r="I84">
        <v>62.5</v>
      </c>
      <c r="J84">
        <v>50.628571428999997</v>
      </c>
      <c r="K84" t="s">
        <v>309</v>
      </c>
      <c r="L84" t="s">
        <v>229</v>
      </c>
      <c r="M84">
        <v>2</v>
      </c>
      <c r="N84" t="s">
        <v>146</v>
      </c>
      <c r="O84" t="s">
        <v>147</v>
      </c>
      <c r="P84" t="s">
        <v>2</v>
      </c>
      <c r="Q84" t="s">
        <v>2</v>
      </c>
      <c r="R84">
        <f>sheet9[[#This Row],[sheet6.Quantity on Hand]]*sheet9[[#This Row],[Cost]]</f>
        <v>101.25714285714287</v>
      </c>
      <c r="S84">
        <f>sheet9[[#This Row],[Quantity]]*sheet9[[#This Row],[Cost]]</f>
        <v>50.628571428571433</v>
      </c>
      <c r="T84">
        <f>sheet9[[#This Row],[sheet8.Sales Amount]]-sheet9[[#This Row],[sheet8.Cost Amount]]</f>
        <v>11.871428571000003</v>
      </c>
      <c r="U84">
        <v>2</v>
      </c>
      <c r="V84" t="str">
        <f t="shared" si="2"/>
        <v>under stock</v>
      </c>
      <c r="W84">
        <f>sheet9[[#This Row],[sheet8.Sales Amount]]-sheet9[[#This Row],[sheet8.Cost Amount]]/sheet9[[#This Row],[sheet8.Sales Amount]]*100</f>
        <v>-18.505714286399993</v>
      </c>
    </row>
    <row r="85" spans="1:23">
      <c r="A85">
        <v>445882</v>
      </c>
      <c r="B85" s="1">
        <v>44320.702141203707</v>
      </c>
      <c r="C85">
        <v>3</v>
      </c>
      <c r="D85">
        <v>133.23432343234319</v>
      </c>
      <c r="E85">
        <v>172.5</v>
      </c>
      <c r="F85">
        <v>359</v>
      </c>
      <c r="G85">
        <v>3571</v>
      </c>
      <c r="H85">
        <v>345</v>
      </c>
      <c r="I85">
        <v>115</v>
      </c>
      <c r="J85">
        <v>80.792079208000004</v>
      </c>
      <c r="K85" t="s">
        <v>288</v>
      </c>
      <c r="L85" t="s">
        <v>237</v>
      </c>
      <c r="M85">
        <v>3</v>
      </c>
      <c r="N85" t="s">
        <v>116</v>
      </c>
      <c r="O85" t="s">
        <v>117</v>
      </c>
      <c r="P85" t="s">
        <v>2</v>
      </c>
      <c r="Q85" t="s">
        <v>6</v>
      </c>
      <c r="R85">
        <f>sheet9[[#This Row],[sheet6.Quantity on Hand]]*sheet9[[#This Row],[Cost]]</f>
        <v>399.70297029702954</v>
      </c>
      <c r="S85">
        <f>sheet9[[#This Row],[Quantity]]*sheet9[[#This Row],[Cost]]</f>
        <v>399.70297029702954</v>
      </c>
      <c r="T85">
        <f>sheet9[[#This Row],[sheet8.Sales Amount]]-sheet9[[#This Row],[sheet8.Cost Amount]]</f>
        <v>34.207920791999996</v>
      </c>
      <c r="U85">
        <v>2</v>
      </c>
      <c r="V85" t="str">
        <f t="shared" si="2"/>
        <v>over stock</v>
      </c>
      <c r="W85">
        <f>sheet9[[#This Row],[sheet8.Sales Amount]]-sheet9[[#This Row],[sheet8.Cost Amount]]/sheet9[[#This Row],[sheet8.Sales Amount]]*100</f>
        <v>44.746018079999999</v>
      </c>
    </row>
    <row r="86" spans="1:23">
      <c r="A86">
        <v>264908</v>
      </c>
      <c r="B86" s="1">
        <v>44416.771944444445</v>
      </c>
      <c r="C86">
        <v>1</v>
      </c>
      <c r="D86">
        <v>131.31428571428569</v>
      </c>
      <c r="E86">
        <v>162</v>
      </c>
      <c r="F86">
        <v>212</v>
      </c>
      <c r="G86">
        <v>2100</v>
      </c>
      <c r="H86">
        <v>52</v>
      </c>
      <c r="I86">
        <v>219</v>
      </c>
      <c r="J86">
        <v>147.90476190000001</v>
      </c>
      <c r="K86" t="s">
        <v>238</v>
      </c>
      <c r="L86" t="s">
        <v>237</v>
      </c>
      <c r="M86">
        <v>2</v>
      </c>
      <c r="N86" t="s">
        <v>214</v>
      </c>
      <c r="O86" t="s">
        <v>215</v>
      </c>
      <c r="P86" t="s">
        <v>2</v>
      </c>
      <c r="Q86" t="s">
        <v>2</v>
      </c>
      <c r="R86">
        <f>sheet9[[#This Row],[sheet6.Quantity on Hand]]*sheet9[[#This Row],[Cost]]</f>
        <v>262.62857142857138</v>
      </c>
      <c r="S86">
        <f>sheet9[[#This Row],[Quantity]]*sheet9[[#This Row],[Cost]]</f>
        <v>131.31428571428569</v>
      </c>
      <c r="T86">
        <f>sheet9[[#This Row],[sheet8.Sales Amount]]-sheet9[[#This Row],[sheet8.Cost Amount]]</f>
        <v>71.095238099999989</v>
      </c>
      <c r="U86">
        <v>2</v>
      </c>
      <c r="V86" t="str">
        <f t="shared" si="2"/>
        <v>under stock</v>
      </c>
      <c r="W86">
        <f>sheet9[[#This Row],[sheet8.Sales Amount]]-sheet9[[#This Row],[sheet8.Cost Amount]]/sheet9[[#This Row],[sheet8.Sales Amount]]*100</f>
        <v>151.4635790410959</v>
      </c>
    </row>
    <row r="87" spans="1:23">
      <c r="A87">
        <v>265594</v>
      </c>
      <c r="B87" s="1">
        <v>43702.463888888888</v>
      </c>
      <c r="C87">
        <v>1</v>
      </c>
      <c r="D87">
        <v>113.1428571428571</v>
      </c>
      <c r="E87">
        <v>167.5</v>
      </c>
      <c r="F87">
        <v>550</v>
      </c>
      <c r="G87">
        <v>2105</v>
      </c>
      <c r="H87">
        <v>333</v>
      </c>
      <c r="I87">
        <v>167.5</v>
      </c>
      <c r="J87">
        <v>113.14285714</v>
      </c>
      <c r="K87" t="s">
        <v>284</v>
      </c>
      <c r="L87" t="s">
        <v>237</v>
      </c>
      <c r="M87">
        <v>3</v>
      </c>
      <c r="N87" t="s">
        <v>158</v>
      </c>
      <c r="O87" t="s">
        <v>159</v>
      </c>
      <c r="P87" t="s">
        <v>4</v>
      </c>
      <c r="Q87" t="s">
        <v>4</v>
      </c>
      <c r="R87">
        <f>sheet9[[#This Row],[sheet6.Quantity on Hand]]*sheet9[[#This Row],[Cost]]</f>
        <v>339.42857142857127</v>
      </c>
      <c r="S87">
        <f>sheet9[[#This Row],[Quantity]]*sheet9[[#This Row],[Cost]]</f>
        <v>113.1428571428571</v>
      </c>
      <c r="T87">
        <f>sheet9[[#This Row],[sheet8.Sales Amount]]-sheet9[[#This Row],[sheet8.Cost Amount]]</f>
        <v>54.357142859999996</v>
      </c>
      <c r="U87">
        <v>2</v>
      </c>
      <c r="V87" t="str">
        <f t="shared" si="2"/>
        <v>under stock</v>
      </c>
      <c r="W87">
        <f>sheet9[[#This Row],[sheet8.Sales Amount]]-sheet9[[#This Row],[sheet8.Cost Amount]]/sheet9[[#This Row],[sheet8.Sales Amount]]*100</f>
        <v>99.952025588059698</v>
      </c>
    </row>
    <row r="88" spans="1:23">
      <c r="A88">
        <v>265789</v>
      </c>
      <c r="B88" s="1">
        <v>44426.121678240743</v>
      </c>
      <c r="C88">
        <v>2</v>
      </c>
      <c r="D88">
        <v>21.11904761904762</v>
      </c>
      <c r="E88">
        <v>31.25</v>
      </c>
      <c r="F88">
        <v>717</v>
      </c>
      <c r="G88">
        <v>2106</v>
      </c>
      <c r="H88">
        <v>380</v>
      </c>
      <c r="I88">
        <v>62.5</v>
      </c>
      <c r="J88">
        <v>42.238095238</v>
      </c>
      <c r="K88" t="s">
        <v>299</v>
      </c>
      <c r="L88" t="s">
        <v>237</v>
      </c>
      <c r="M88">
        <v>2</v>
      </c>
      <c r="N88" t="s">
        <v>188</v>
      </c>
      <c r="O88" t="s">
        <v>189</v>
      </c>
      <c r="P88" t="s">
        <v>3</v>
      </c>
      <c r="Q88" t="s">
        <v>3</v>
      </c>
      <c r="R88">
        <f>sheet9[[#This Row],[sheet6.Quantity on Hand]]*sheet9[[#This Row],[Cost]]</f>
        <v>42.238095238095241</v>
      </c>
      <c r="S88">
        <f>sheet9[[#This Row],[Quantity]]*sheet9[[#This Row],[Cost]]</f>
        <v>42.238095238095241</v>
      </c>
      <c r="T88">
        <f>sheet9[[#This Row],[sheet8.Sales Amount]]-sheet9[[#This Row],[sheet8.Cost Amount]]</f>
        <v>20.261904762</v>
      </c>
      <c r="U88">
        <v>2</v>
      </c>
      <c r="V88" t="str">
        <f t="shared" si="2"/>
        <v>over stock</v>
      </c>
      <c r="W88">
        <f>sheet9[[#This Row],[sheet8.Sales Amount]]-sheet9[[#This Row],[sheet8.Cost Amount]]/sheet9[[#This Row],[sheet8.Sales Amount]]*100</f>
        <v>-5.0809523807999994</v>
      </c>
    </row>
    <row r="89" spans="1:23">
      <c r="A89">
        <v>535108</v>
      </c>
      <c r="B89" s="1">
        <v>43991.43953703704</v>
      </c>
      <c r="C89">
        <v>1</v>
      </c>
      <c r="D89">
        <v>198.34951456310679</v>
      </c>
      <c r="E89">
        <v>288</v>
      </c>
      <c r="F89">
        <v>734</v>
      </c>
      <c r="G89">
        <v>4300</v>
      </c>
      <c r="H89">
        <v>355</v>
      </c>
      <c r="I89">
        <v>288</v>
      </c>
      <c r="J89">
        <v>198.34951455999999</v>
      </c>
      <c r="K89" t="s">
        <v>292</v>
      </c>
      <c r="L89" t="s">
        <v>237</v>
      </c>
      <c r="M89">
        <v>3</v>
      </c>
      <c r="N89" t="s">
        <v>96</v>
      </c>
      <c r="O89" t="s">
        <v>97</v>
      </c>
      <c r="P89" t="s">
        <v>5</v>
      </c>
      <c r="Q89" t="s">
        <v>5</v>
      </c>
      <c r="R89">
        <f>sheet9[[#This Row],[sheet6.Quantity on Hand]]*sheet9[[#This Row],[Cost]]</f>
        <v>595.04854368932035</v>
      </c>
      <c r="S89">
        <f>sheet9[[#This Row],[Quantity]]*sheet9[[#This Row],[Cost]]</f>
        <v>198.34951456310679</v>
      </c>
      <c r="T89">
        <f>sheet9[[#This Row],[sheet8.Sales Amount]]-sheet9[[#This Row],[sheet8.Cost Amount]]</f>
        <v>89.650485440000011</v>
      </c>
      <c r="U89">
        <v>2</v>
      </c>
      <c r="V89" t="str">
        <f t="shared" si="2"/>
        <v>under stock</v>
      </c>
      <c r="W89">
        <f>sheet9[[#This Row],[sheet8.Sales Amount]]-sheet9[[#This Row],[sheet8.Cost Amount]]/sheet9[[#This Row],[sheet8.Sales Amount]]*100</f>
        <v>219.12864077777778</v>
      </c>
    </row>
    <row r="90" spans="1:23">
      <c r="A90">
        <v>533948</v>
      </c>
      <c r="B90" s="1">
        <v>44295.02270833333</v>
      </c>
      <c r="C90">
        <v>2</v>
      </c>
      <c r="D90">
        <v>84.603960396039611</v>
      </c>
      <c r="E90">
        <v>241</v>
      </c>
      <c r="F90">
        <v>241</v>
      </c>
      <c r="G90">
        <v>4291</v>
      </c>
      <c r="H90">
        <v>405</v>
      </c>
      <c r="I90">
        <v>482</v>
      </c>
      <c r="J90">
        <v>169.20792079</v>
      </c>
      <c r="K90" t="s">
        <v>305</v>
      </c>
      <c r="L90" t="s">
        <v>268</v>
      </c>
      <c r="M90">
        <v>1</v>
      </c>
      <c r="N90" t="s">
        <v>88</v>
      </c>
      <c r="O90" t="s">
        <v>89</v>
      </c>
      <c r="P90" t="s">
        <v>4</v>
      </c>
      <c r="Q90" t="s">
        <v>4</v>
      </c>
      <c r="R90">
        <f>sheet9[[#This Row],[sheet6.Quantity on Hand]]*sheet9[[#This Row],[Cost]]</f>
        <v>84.603960396039611</v>
      </c>
      <c r="S90">
        <f>sheet9[[#This Row],[Quantity]]*sheet9[[#This Row],[Cost]]</f>
        <v>169.20792079207922</v>
      </c>
      <c r="T90">
        <f>sheet9[[#This Row],[sheet8.Sales Amount]]-sheet9[[#This Row],[sheet8.Cost Amount]]</f>
        <v>312.79207921</v>
      </c>
      <c r="U90">
        <v>2</v>
      </c>
      <c r="V90" t="str">
        <f t="shared" si="2"/>
        <v>over stock</v>
      </c>
      <c r="W90">
        <f>sheet9[[#This Row],[sheet8.Sales Amount]]-sheet9[[#This Row],[sheet8.Cost Amount]]/sheet9[[#This Row],[sheet8.Sales Amount]]*100</f>
        <v>446.89462224273859</v>
      </c>
    </row>
    <row r="91" spans="1:23">
      <c r="A91">
        <v>380247</v>
      </c>
      <c r="B91" s="1">
        <v>43586.606261574074</v>
      </c>
      <c r="C91">
        <v>1</v>
      </c>
      <c r="D91">
        <v>80.792079207920793</v>
      </c>
      <c r="E91">
        <v>115</v>
      </c>
      <c r="F91">
        <v>314</v>
      </c>
      <c r="G91">
        <v>3038</v>
      </c>
      <c r="H91">
        <v>57</v>
      </c>
      <c r="I91">
        <v>115</v>
      </c>
      <c r="J91">
        <v>80.792079208000004</v>
      </c>
      <c r="K91" t="s">
        <v>240</v>
      </c>
      <c r="L91" t="s">
        <v>237</v>
      </c>
      <c r="M91">
        <v>3</v>
      </c>
      <c r="N91" t="s">
        <v>194</v>
      </c>
      <c r="O91" t="s">
        <v>195</v>
      </c>
      <c r="P91" t="s">
        <v>5</v>
      </c>
      <c r="Q91" t="s">
        <v>4</v>
      </c>
      <c r="R91">
        <f>sheet9[[#This Row],[sheet6.Quantity on Hand]]*sheet9[[#This Row],[Cost]]</f>
        <v>242.37623762376239</v>
      </c>
      <c r="S91">
        <f>sheet9[[#This Row],[Quantity]]*sheet9[[#This Row],[Cost]]</f>
        <v>80.792079207920793</v>
      </c>
      <c r="T91">
        <f>sheet9[[#This Row],[sheet8.Sales Amount]]-sheet9[[#This Row],[sheet8.Cost Amount]]</f>
        <v>34.207920791999996</v>
      </c>
      <c r="U91">
        <v>2</v>
      </c>
      <c r="V91" t="str">
        <f t="shared" si="2"/>
        <v>under stock</v>
      </c>
      <c r="W91">
        <f>sheet9[[#This Row],[sheet8.Sales Amount]]-sheet9[[#This Row],[sheet8.Cost Amount]]/sheet9[[#This Row],[sheet8.Sales Amount]]*100</f>
        <v>44.746018079999999</v>
      </c>
    </row>
    <row r="92" spans="1:23">
      <c r="A92">
        <v>391550</v>
      </c>
      <c r="B92" s="1">
        <v>44443.030104166668</v>
      </c>
      <c r="C92">
        <v>1</v>
      </c>
      <c r="D92">
        <v>42.32380952380953</v>
      </c>
      <c r="E92">
        <v>57</v>
      </c>
      <c r="F92">
        <v>84</v>
      </c>
      <c r="G92">
        <v>3127</v>
      </c>
      <c r="H92">
        <v>385</v>
      </c>
      <c r="I92">
        <v>151.5</v>
      </c>
      <c r="J92">
        <v>102.28571429</v>
      </c>
      <c r="K92" t="s">
        <v>302</v>
      </c>
      <c r="L92" t="s">
        <v>237</v>
      </c>
      <c r="M92">
        <v>1</v>
      </c>
      <c r="N92" t="s">
        <v>8</v>
      </c>
      <c r="O92" t="s">
        <v>9</v>
      </c>
      <c r="P92" t="s">
        <v>6</v>
      </c>
      <c r="Q92" t="s">
        <v>6</v>
      </c>
      <c r="R92">
        <f>sheet9[[#This Row],[sheet6.Quantity on Hand]]*sheet9[[#This Row],[Cost]]</f>
        <v>42.32380952380953</v>
      </c>
      <c r="S92">
        <f>sheet9[[#This Row],[Quantity]]*sheet9[[#This Row],[Cost]]</f>
        <v>42.32380952380953</v>
      </c>
      <c r="T92">
        <f>sheet9[[#This Row],[sheet8.Sales Amount]]-sheet9[[#This Row],[sheet8.Cost Amount]]</f>
        <v>49.214285709999999</v>
      </c>
      <c r="U92">
        <v>2</v>
      </c>
      <c r="V92" t="str">
        <f t="shared" si="2"/>
        <v>under stock</v>
      </c>
      <c r="W92">
        <f>sheet9[[#This Row],[sheet8.Sales Amount]]-sheet9[[#This Row],[sheet8.Cost Amount]]/sheet9[[#This Row],[sheet8.Sales Amount]]*100</f>
        <v>83.984677036303637</v>
      </c>
    </row>
    <row r="93" spans="1:23">
      <c r="A93">
        <v>392050</v>
      </c>
      <c r="B93" s="1">
        <v>43691.975543981483</v>
      </c>
      <c r="C93">
        <v>1</v>
      </c>
      <c r="D93">
        <v>471.42857142857139</v>
      </c>
      <c r="E93">
        <v>634.5</v>
      </c>
      <c r="F93">
        <v>192</v>
      </c>
      <c r="G93">
        <v>3132</v>
      </c>
      <c r="H93">
        <v>304</v>
      </c>
      <c r="I93">
        <v>1343</v>
      </c>
      <c r="J93">
        <v>907.14285714000005</v>
      </c>
      <c r="K93" t="s">
        <v>273</v>
      </c>
      <c r="L93" t="s">
        <v>237</v>
      </c>
      <c r="M93">
        <v>1</v>
      </c>
      <c r="N93" t="s">
        <v>10</v>
      </c>
      <c r="O93" t="s">
        <v>11</v>
      </c>
      <c r="P93" t="s">
        <v>4</v>
      </c>
      <c r="Q93" t="s">
        <v>4</v>
      </c>
      <c r="R93">
        <f>sheet9[[#This Row],[sheet6.Quantity on Hand]]*sheet9[[#This Row],[Cost]]</f>
        <v>471.42857142857139</v>
      </c>
      <c r="S93">
        <f>sheet9[[#This Row],[Quantity]]*sheet9[[#This Row],[Cost]]</f>
        <v>471.42857142857139</v>
      </c>
      <c r="T93">
        <f>sheet9[[#This Row],[sheet8.Sales Amount]]-sheet9[[#This Row],[sheet8.Cost Amount]]</f>
        <v>435.85714285999995</v>
      </c>
      <c r="U93">
        <v>2</v>
      </c>
      <c r="V93" t="str">
        <f t="shared" si="2"/>
        <v>under stock</v>
      </c>
      <c r="W93">
        <f>sheet9[[#This Row],[sheet8.Sales Amount]]-sheet9[[#This Row],[sheet8.Cost Amount]]/sheet9[[#This Row],[sheet8.Sales Amount]]*100</f>
        <v>1275.453994256143</v>
      </c>
    </row>
    <row r="94" spans="1:23">
      <c r="A94">
        <v>390498</v>
      </c>
      <c r="B94" s="1">
        <v>44500.58021990741</v>
      </c>
      <c r="C94">
        <v>1</v>
      </c>
      <c r="D94">
        <v>768.86915887850466</v>
      </c>
      <c r="E94">
        <v>1054.5</v>
      </c>
      <c r="F94">
        <v>763</v>
      </c>
      <c r="G94">
        <v>3118</v>
      </c>
      <c r="H94">
        <v>319</v>
      </c>
      <c r="I94">
        <v>204</v>
      </c>
      <c r="J94">
        <v>135.23364486</v>
      </c>
      <c r="K94" t="s">
        <v>277</v>
      </c>
      <c r="L94" t="s">
        <v>237</v>
      </c>
      <c r="M94">
        <v>1</v>
      </c>
      <c r="N94" t="s">
        <v>84</v>
      </c>
      <c r="O94" t="s">
        <v>85</v>
      </c>
      <c r="P94" t="s">
        <v>5</v>
      </c>
      <c r="Q94" t="s">
        <v>5</v>
      </c>
      <c r="R94">
        <f>sheet9[[#This Row],[sheet6.Quantity on Hand]]*sheet9[[#This Row],[Cost]]</f>
        <v>768.86915887850466</v>
      </c>
      <c r="S94">
        <f>sheet9[[#This Row],[Quantity]]*sheet9[[#This Row],[Cost]]</f>
        <v>768.86915887850466</v>
      </c>
      <c r="T94">
        <f>sheet9[[#This Row],[sheet8.Sales Amount]]-sheet9[[#This Row],[sheet8.Cost Amount]]</f>
        <v>68.766355140000002</v>
      </c>
      <c r="U94">
        <v>2</v>
      </c>
      <c r="V94" t="str">
        <f t="shared" si="2"/>
        <v>under stock</v>
      </c>
      <c r="W94">
        <f>sheet9[[#This Row],[sheet8.Sales Amount]]-sheet9[[#This Row],[sheet8.Cost Amount]]/sheet9[[#This Row],[sheet8.Sales Amount]]*100</f>
        <v>137.70899761764707</v>
      </c>
    </row>
    <row r="95" spans="1:23">
      <c r="A95">
        <v>392741</v>
      </c>
      <c r="B95" s="1">
        <v>44860.660671296297</v>
      </c>
      <c r="C95">
        <v>2</v>
      </c>
      <c r="D95">
        <v>68.607476635514018</v>
      </c>
      <c r="E95">
        <v>86.25</v>
      </c>
      <c r="F95">
        <v>911</v>
      </c>
      <c r="G95">
        <v>3135</v>
      </c>
      <c r="H95">
        <v>392</v>
      </c>
      <c r="I95">
        <v>287.5</v>
      </c>
      <c r="J95">
        <v>190.56074766</v>
      </c>
      <c r="K95" t="s">
        <v>304</v>
      </c>
      <c r="L95" t="s">
        <v>237</v>
      </c>
      <c r="M95">
        <v>2</v>
      </c>
      <c r="N95" t="s">
        <v>154</v>
      </c>
      <c r="O95" t="s">
        <v>155</v>
      </c>
      <c r="P95" t="s">
        <v>3</v>
      </c>
      <c r="Q95" t="s">
        <v>3</v>
      </c>
      <c r="R95">
        <f>sheet9[[#This Row],[sheet6.Quantity on Hand]]*sheet9[[#This Row],[Cost]]</f>
        <v>137.21495327102804</v>
      </c>
      <c r="S95">
        <f>sheet9[[#This Row],[Quantity]]*sheet9[[#This Row],[Cost]]</f>
        <v>137.21495327102804</v>
      </c>
      <c r="T95">
        <f>sheet9[[#This Row],[sheet8.Sales Amount]]-sheet9[[#This Row],[sheet8.Cost Amount]]</f>
        <v>96.939252339999996</v>
      </c>
      <c r="U95">
        <v>2</v>
      </c>
      <c r="V95" t="str">
        <f t="shared" si="2"/>
        <v>over stock</v>
      </c>
      <c r="W95">
        <f>sheet9[[#This Row],[sheet8.Sales Amount]]-sheet9[[#This Row],[sheet8.Cost Amount]]/sheet9[[#This Row],[sheet8.Sales Amount]]*100</f>
        <v>221.21800081391302</v>
      </c>
    </row>
    <row r="96" spans="1:23">
      <c r="A96">
        <v>393462</v>
      </c>
      <c r="B96" s="1">
        <v>44855.869814814818</v>
      </c>
      <c r="C96">
        <v>1</v>
      </c>
      <c r="D96">
        <v>74.112149532710276</v>
      </c>
      <c r="E96">
        <v>335.5</v>
      </c>
      <c r="F96">
        <v>814</v>
      </c>
      <c r="G96">
        <v>3143</v>
      </c>
      <c r="H96">
        <v>870</v>
      </c>
      <c r="I96">
        <v>335.5</v>
      </c>
      <c r="J96">
        <v>74.112149532999993</v>
      </c>
      <c r="K96" t="s">
        <v>319</v>
      </c>
      <c r="L96" t="s">
        <v>249</v>
      </c>
      <c r="M96">
        <v>2</v>
      </c>
      <c r="N96" t="s">
        <v>220</v>
      </c>
      <c r="O96" t="s">
        <v>221</v>
      </c>
      <c r="P96" t="s">
        <v>4</v>
      </c>
      <c r="Q96" t="s">
        <v>2</v>
      </c>
      <c r="R96">
        <f>sheet9[[#This Row],[sheet6.Quantity on Hand]]*sheet9[[#This Row],[Cost]]</f>
        <v>148.22429906542055</v>
      </c>
      <c r="S96">
        <f>sheet9[[#This Row],[Quantity]]*sheet9[[#This Row],[Cost]]</f>
        <v>74.112149532710276</v>
      </c>
      <c r="T96">
        <f>sheet9[[#This Row],[sheet8.Sales Amount]]-sheet9[[#This Row],[sheet8.Cost Amount]]</f>
        <v>261.38785046700002</v>
      </c>
      <c r="U96">
        <v>2</v>
      </c>
      <c r="V96" t="str">
        <f t="shared" si="2"/>
        <v>under stock</v>
      </c>
      <c r="W96">
        <f>sheet9[[#This Row],[sheet8.Sales Amount]]-sheet9[[#This Row],[sheet8.Cost Amount]]/sheet9[[#This Row],[sheet8.Sales Amount]]*100</f>
        <v>313.40994052667662</v>
      </c>
    </row>
    <row r="97" spans="1:23">
      <c r="A97">
        <v>391403</v>
      </c>
      <c r="B97" s="1">
        <v>44259.479849537034</v>
      </c>
      <c r="C97">
        <v>3</v>
      </c>
      <c r="D97">
        <v>84.333333333333343</v>
      </c>
      <c r="E97">
        <v>120</v>
      </c>
      <c r="F97">
        <v>908</v>
      </c>
      <c r="G97">
        <v>3126</v>
      </c>
      <c r="H97">
        <v>318</v>
      </c>
      <c r="I97">
        <v>335</v>
      </c>
      <c r="J97">
        <v>214.05405404999999</v>
      </c>
      <c r="K97" t="s">
        <v>276</v>
      </c>
      <c r="L97" t="s">
        <v>237</v>
      </c>
      <c r="M97">
        <v>2</v>
      </c>
      <c r="N97" t="s">
        <v>210</v>
      </c>
      <c r="O97" t="s">
        <v>211</v>
      </c>
      <c r="P97" t="s">
        <v>4</v>
      </c>
      <c r="Q97" t="s">
        <v>4</v>
      </c>
      <c r="R97">
        <f>sheet9[[#This Row],[sheet6.Quantity on Hand]]*sheet9[[#This Row],[Cost]]</f>
        <v>168.66666666666669</v>
      </c>
      <c r="S97">
        <f>sheet9[[#This Row],[Quantity]]*sheet9[[#This Row],[Cost]]</f>
        <v>253.00000000000003</v>
      </c>
      <c r="T97">
        <f>sheet9[[#This Row],[sheet8.Sales Amount]]-sheet9[[#This Row],[sheet8.Cost Amount]]</f>
        <v>120.94594595000001</v>
      </c>
      <c r="U97">
        <v>2</v>
      </c>
      <c r="V97" t="str">
        <f t="shared" si="2"/>
        <v>over stock</v>
      </c>
      <c r="W97">
        <f>sheet9[[#This Row],[sheet8.Sales Amount]]-sheet9[[#This Row],[sheet8.Cost Amount]]/sheet9[[#This Row],[sheet8.Sales Amount]]*100</f>
        <v>271.1032674477612</v>
      </c>
    </row>
    <row r="98" spans="1:23">
      <c r="A98">
        <v>391366</v>
      </c>
      <c r="B98" s="1">
        <v>44249.269490740742</v>
      </c>
      <c r="C98">
        <v>1</v>
      </c>
      <c r="D98">
        <v>40.036036036036037</v>
      </c>
      <c r="E98">
        <v>57</v>
      </c>
      <c r="F98">
        <v>222</v>
      </c>
      <c r="G98">
        <v>3125</v>
      </c>
      <c r="H98">
        <v>261</v>
      </c>
      <c r="I98">
        <v>146.5</v>
      </c>
      <c r="J98">
        <v>46.801801802</v>
      </c>
      <c r="K98" t="s">
        <v>269</v>
      </c>
      <c r="L98" t="s">
        <v>268</v>
      </c>
      <c r="M98">
        <v>1</v>
      </c>
      <c r="N98" t="s">
        <v>172</v>
      </c>
      <c r="O98" t="s">
        <v>173</v>
      </c>
      <c r="P98" t="s">
        <v>5</v>
      </c>
      <c r="Q98" t="s">
        <v>5</v>
      </c>
      <c r="R98">
        <f>sheet9[[#This Row],[sheet6.Quantity on Hand]]*sheet9[[#This Row],[Cost]]</f>
        <v>40.036036036036037</v>
      </c>
      <c r="S98">
        <f>sheet9[[#This Row],[Quantity]]*sheet9[[#This Row],[Cost]]</f>
        <v>40.036036036036037</v>
      </c>
      <c r="T98">
        <f>sheet9[[#This Row],[sheet8.Sales Amount]]-sheet9[[#This Row],[sheet8.Cost Amount]]</f>
        <v>99.698198198</v>
      </c>
      <c r="U98">
        <v>2</v>
      </c>
      <c r="V98" t="str">
        <f t="shared" ref="V98:V111" si="3">IF(C98=0,"out of stock",IF(C98&lt;U98,"under stock","over stock"))</f>
        <v>under stock</v>
      </c>
      <c r="W98">
        <f>sheet9[[#This Row],[sheet8.Sales Amount]]-sheet9[[#This Row],[sheet8.Cost Amount]]/sheet9[[#This Row],[sheet8.Sales Amount]]*100</f>
        <v>114.55337760955632</v>
      </c>
    </row>
    <row r="99" spans="1:23">
      <c r="A99">
        <v>395371</v>
      </c>
      <c r="B99" s="1">
        <v>44238.469097222223</v>
      </c>
      <c r="C99">
        <v>1</v>
      </c>
      <c r="D99">
        <v>113.6936936936937</v>
      </c>
      <c r="E99">
        <v>178</v>
      </c>
      <c r="F99">
        <v>182</v>
      </c>
      <c r="G99">
        <v>3156</v>
      </c>
      <c r="H99">
        <v>78</v>
      </c>
      <c r="I99">
        <v>178</v>
      </c>
      <c r="J99">
        <v>113.69369369</v>
      </c>
      <c r="K99" t="s">
        <v>245</v>
      </c>
      <c r="L99" t="s">
        <v>237</v>
      </c>
      <c r="M99">
        <v>2</v>
      </c>
      <c r="N99" t="s">
        <v>106</v>
      </c>
      <c r="O99" t="s">
        <v>107</v>
      </c>
      <c r="P99" t="s">
        <v>5</v>
      </c>
      <c r="Q99" t="s">
        <v>4</v>
      </c>
      <c r="R99">
        <f>sheet9[[#This Row],[sheet6.Quantity on Hand]]*sheet9[[#This Row],[Cost]]</f>
        <v>227.38738738738741</v>
      </c>
      <c r="S99">
        <f>sheet9[[#This Row],[Quantity]]*sheet9[[#This Row],[Cost]]</f>
        <v>113.6936936936937</v>
      </c>
      <c r="T99">
        <f>sheet9[[#This Row],[sheet8.Sales Amount]]-sheet9[[#This Row],[sheet8.Cost Amount]]</f>
        <v>64.306306309999997</v>
      </c>
      <c r="U99">
        <v>2</v>
      </c>
      <c r="V99" t="str">
        <f t="shared" si="3"/>
        <v>under stock</v>
      </c>
      <c r="W99">
        <f>sheet9[[#This Row],[sheet8.Sales Amount]]-sheet9[[#This Row],[sheet8.Cost Amount]]/sheet9[[#This Row],[sheet8.Sales Amount]]*100</f>
        <v>114.12713837640449</v>
      </c>
    </row>
    <row r="100" spans="1:23">
      <c r="A100">
        <v>536622</v>
      </c>
      <c r="B100" s="1">
        <v>43769.439710648148</v>
      </c>
      <c r="C100">
        <v>3</v>
      </c>
      <c r="D100">
        <v>1266.439252336449</v>
      </c>
      <c r="E100">
        <v>1737</v>
      </c>
      <c r="F100">
        <v>615</v>
      </c>
      <c r="G100">
        <v>4312</v>
      </c>
      <c r="H100">
        <v>351</v>
      </c>
      <c r="I100">
        <v>114</v>
      </c>
      <c r="J100">
        <v>75.607476636000001</v>
      </c>
      <c r="K100" t="s">
        <v>290</v>
      </c>
      <c r="L100" t="s">
        <v>237</v>
      </c>
      <c r="M100">
        <v>3</v>
      </c>
      <c r="N100" t="s">
        <v>222</v>
      </c>
      <c r="O100" t="s">
        <v>223</v>
      </c>
      <c r="P100" t="s">
        <v>2</v>
      </c>
      <c r="Q100" t="s">
        <v>2</v>
      </c>
      <c r="R100">
        <f>sheet9[[#This Row],[sheet6.Quantity on Hand]]*sheet9[[#This Row],[Cost]]</f>
        <v>3799.3177570093471</v>
      </c>
      <c r="S100">
        <f>sheet9[[#This Row],[Quantity]]*sheet9[[#This Row],[Cost]]</f>
        <v>3799.3177570093471</v>
      </c>
      <c r="T100">
        <f>sheet9[[#This Row],[sheet8.Sales Amount]]-sheet9[[#This Row],[sheet8.Cost Amount]]</f>
        <v>38.392523363999999</v>
      </c>
      <c r="U100">
        <v>2</v>
      </c>
      <c r="V100" t="str">
        <f t="shared" si="3"/>
        <v>over stock</v>
      </c>
      <c r="W100">
        <f>sheet9[[#This Row],[sheet8.Sales Amount]]-sheet9[[#This Row],[sheet8.Cost Amount]]/sheet9[[#This Row],[sheet8.Sales Amount]]*100</f>
        <v>47.6776520736842</v>
      </c>
    </row>
    <row r="101" spans="1:23">
      <c r="A101">
        <v>536820</v>
      </c>
      <c r="B101" s="1">
        <v>43772.035011574073</v>
      </c>
      <c r="C101">
        <v>1</v>
      </c>
      <c r="D101">
        <v>41.532710280373827</v>
      </c>
      <c r="E101">
        <v>57</v>
      </c>
      <c r="F101">
        <v>71</v>
      </c>
      <c r="G101">
        <v>4315</v>
      </c>
      <c r="H101">
        <v>65</v>
      </c>
      <c r="I101">
        <v>115</v>
      </c>
      <c r="J101">
        <v>76.261682242999996</v>
      </c>
      <c r="K101" t="s">
        <v>242</v>
      </c>
      <c r="L101" t="s">
        <v>237</v>
      </c>
      <c r="M101">
        <v>3</v>
      </c>
      <c r="N101" t="s">
        <v>170</v>
      </c>
      <c r="O101" t="s">
        <v>171</v>
      </c>
      <c r="P101" t="s">
        <v>5</v>
      </c>
      <c r="Q101" t="s">
        <v>5</v>
      </c>
      <c r="R101">
        <f>sheet9[[#This Row],[sheet6.Quantity on Hand]]*sheet9[[#This Row],[Cost]]</f>
        <v>124.59813084112147</v>
      </c>
      <c r="S101">
        <f>sheet9[[#This Row],[Quantity]]*sheet9[[#This Row],[Cost]]</f>
        <v>41.532710280373827</v>
      </c>
      <c r="T101">
        <f>sheet9[[#This Row],[sheet8.Sales Amount]]-sheet9[[#This Row],[sheet8.Cost Amount]]</f>
        <v>38.738317757000004</v>
      </c>
      <c r="U101">
        <v>2</v>
      </c>
      <c r="V101" t="str">
        <f t="shared" si="3"/>
        <v>under stock</v>
      </c>
      <c r="W101">
        <f>sheet9[[#This Row],[sheet8.Sales Amount]]-sheet9[[#This Row],[sheet8.Cost Amount]]/sheet9[[#This Row],[sheet8.Sales Amount]]*100</f>
        <v>48.685493701739134</v>
      </c>
    </row>
    <row r="102" spans="1:23">
      <c r="A102">
        <v>260429</v>
      </c>
      <c r="B102" s="1">
        <v>44806.494398148148</v>
      </c>
      <c r="C102">
        <v>1</v>
      </c>
      <c r="D102">
        <v>24.666666666666671</v>
      </c>
      <c r="E102">
        <v>109.5</v>
      </c>
      <c r="F102">
        <v>974</v>
      </c>
      <c r="G102">
        <v>2064</v>
      </c>
      <c r="H102">
        <v>946</v>
      </c>
      <c r="I102">
        <v>109.5</v>
      </c>
      <c r="J102">
        <v>24.666666667000001</v>
      </c>
      <c r="K102" t="s">
        <v>321</v>
      </c>
      <c r="L102" t="s">
        <v>249</v>
      </c>
      <c r="M102">
        <v>1</v>
      </c>
      <c r="N102" t="s">
        <v>136</v>
      </c>
      <c r="O102" t="s">
        <v>137</v>
      </c>
      <c r="P102" t="s">
        <v>4</v>
      </c>
      <c r="Q102" t="s">
        <v>6</v>
      </c>
      <c r="R102">
        <f>sheet9[[#This Row],[sheet6.Quantity on Hand]]*sheet9[[#This Row],[Cost]]</f>
        <v>24.666666666666671</v>
      </c>
      <c r="S102">
        <f>sheet9[[#This Row],[Quantity]]*sheet9[[#This Row],[Cost]]</f>
        <v>24.666666666666671</v>
      </c>
      <c r="T102">
        <f>sheet9[[#This Row],[sheet8.Sales Amount]]-sheet9[[#This Row],[sheet8.Cost Amount]]</f>
        <v>84.833333332999999</v>
      </c>
      <c r="U102">
        <v>2</v>
      </c>
      <c r="V102" t="str">
        <f t="shared" si="3"/>
        <v>under stock</v>
      </c>
      <c r="W102">
        <f>sheet9[[#This Row],[sheet8.Sales Amount]]-sheet9[[#This Row],[sheet8.Cost Amount]]/sheet9[[#This Row],[sheet8.Sales Amount]]*100</f>
        <v>86.973363774429217</v>
      </c>
    </row>
    <row r="103" spans="1:23">
      <c r="A103">
        <v>409703</v>
      </c>
      <c r="B103" s="1">
        <v>44938.089525462965</v>
      </c>
      <c r="C103">
        <v>3</v>
      </c>
      <c r="D103">
        <v>26.48268398268398</v>
      </c>
      <c r="E103">
        <v>57.5</v>
      </c>
      <c r="F103">
        <v>491</v>
      </c>
      <c r="G103">
        <v>3277</v>
      </c>
      <c r="H103">
        <v>603</v>
      </c>
      <c r="I103">
        <v>172.5</v>
      </c>
      <c r="J103">
        <v>79.448051948</v>
      </c>
      <c r="K103" t="s">
        <v>314</v>
      </c>
      <c r="L103" t="s">
        <v>310</v>
      </c>
      <c r="M103">
        <v>3</v>
      </c>
      <c r="N103" t="s">
        <v>42</v>
      </c>
      <c r="O103" t="s">
        <v>43</v>
      </c>
      <c r="P103" t="s">
        <v>3</v>
      </c>
      <c r="Q103" t="s">
        <v>3</v>
      </c>
      <c r="R103">
        <f>sheet9[[#This Row],[sheet6.Quantity on Hand]]*sheet9[[#This Row],[Cost]]</f>
        <v>79.44805194805194</v>
      </c>
      <c r="S103">
        <f>sheet9[[#This Row],[Quantity]]*sheet9[[#This Row],[Cost]]</f>
        <v>79.44805194805194</v>
      </c>
      <c r="T103">
        <f>sheet9[[#This Row],[sheet8.Sales Amount]]-sheet9[[#This Row],[sheet8.Cost Amount]]</f>
        <v>93.051948052</v>
      </c>
      <c r="U103">
        <v>2</v>
      </c>
      <c r="V103" t="str">
        <f t="shared" si="3"/>
        <v>over stock</v>
      </c>
      <c r="W103">
        <f>sheet9[[#This Row],[sheet8.Sales Amount]]-sheet9[[#This Row],[sheet8.Cost Amount]]/sheet9[[#This Row],[sheet8.Sales Amount]]*100</f>
        <v>126.4431582910145</v>
      </c>
    </row>
    <row r="104" spans="1:23">
      <c r="A104">
        <v>406505</v>
      </c>
      <c r="B104" s="1">
        <v>44364.693912037037</v>
      </c>
      <c r="C104">
        <v>2</v>
      </c>
      <c r="D104">
        <v>726.06796116504859</v>
      </c>
      <c r="E104">
        <v>1054.5</v>
      </c>
      <c r="F104">
        <v>303</v>
      </c>
      <c r="G104">
        <v>2586</v>
      </c>
      <c r="H104">
        <v>342</v>
      </c>
      <c r="I104">
        <v>2109</v>
      </c>
      <c r="J104">
        <v>1452.1359222999999</v>
      </c>
      <c r="K104" t="s">
        <v>287</v>
      </c>
      <c r="L104" t="s">
        <v>237</v>
      </c>
      <c r="M104">
        <v>1</v>
      </c>
      <c r="N104" t="s">
        <v>34</v>
      </c>
      <c r="O104" t="s">
        <v>35</v>
      </c>
      <c r="P104" t="s">
        <v>4</v>
      </c>
      <c r="Q104" t="s">
        <v>3</v>
      </c>
      <c r="R104">
        <f>sheet9[[#This Row],[sheet6.Quantity on Hand]]*sheet9[[#This Row],[Cost]]</f>
        <v>726.06796116504859</v>
      </c>
      <c r="S104">
        <f>sheet9[[#This Row],[Quantity]]*sheet9[[#This Row],[Cost]]</f>
        <v>1452.1359223300972</v>
      </c>
      <c r="T104">
        <f>sheet9[[#This Row],[sheet8.Sales Amount]]-sheet9[[#This Row],[sheet8.Cost Amount]]</f>
        <v>656.86407770000005</v>
      </c>
      <c r="U104">
        <v>2</v>
      </c>
      <c r="V104" t="str">
        <f t="shared" si="3"/>
        <v>over stock</v>
      </c>
      <c r="W104">
        <f>sheet9[[#This Row],[sheet8.Sales Amount]]-sheet9[[#This Row],[sheet8.Cost Amount]]/sheet9[[#This Row],[sheet8.Sales Amount]]*100</f>
        <v>2040.145759966809</v>
      </c>
    </row>
    <row r="105" spans="1:23">
      <c r="A105">
        <v>540630</v>
      </c>
      <c r="B105" s="1">
        <v>44440.896157407406</v>
      </c>
      <c r="C105">
        <v>3</v>
      </c>
      <c r="D105">
        <v>42.358730158730161</v>
      </c>
      <c r="E105">
        <v>57</v>
      </c>
      <c r="F105">
        <v>464</v>
      </c>
      <c r="G105">
        <v>4344</v>
      </c>
      <c r="H105">
        <v>378</v>
      </c>
      <c r="I105">
        <v>325</v>
      </c>
      <c r="J105">
        <v>219.52380951999999</v>
      </c>
      <c r="K105" t="s">
        <v>298</v>
      </c>
      <c r="L105" t="s">
        <v>237</v>
      </c>
      <c r="M105">
        <v>2</v>
      </c>
      <c r="N105" t="s">
        <v>178</v>
      </c>
      <c r="O105" t="s">
        <v>179</v>
      </c>
      <c r="P105" t="s">
        <v>2</v>
      </c>
      <c r="Q105" t="s">
        <v>2</v>
      </c>
      <c r="R105">
        <f>sheet9[[#This Row],[sheet6.Quantity on Hand]]*sheet9[[#This Row],[Cost]]</f>
        <v>84.717460317460322</v>
      </c>
      <c r="S105">
        <f>sheet9[[#This Row],[Quantity]]*sheet9[[#This Row],[Cost]]</f>
        <v>127.07619047619048</v>
      </c>
      <c r="T105">
        <f>sheet9[[#This Row],[sheet8.Sales Amount]]-sheet9[[#This Row],[sheet8.Cost Amount]]</f>
        <v>105.47619048000001</v>
      </c>
      <c r="U105">
        <v>2</v>
      </c>
      <c r="V105" t="str">
        <f t="shared" si="3"/>
        <v>over stock</v>
      </c>
      <c r="W105">
        <f>sheet9[[#This Row],[sheet8.Sales Amount]]-sheet9[[#This Row],[sheet8.Cost Amount]]/sheet9[[#This Row],[sheet8.Sales Amount]]*100</f>
        <v>257.45421245538461</v>
      </c>
    </row>
    <row r="106" spans="1:23">
      <c r="A106">
        <v>537603</v>
      </c>
      <c r="B106" s="1">
        <v>43724.021493055552</v>
      </c>
      <c r="C106">
        <v>1</v>
      </c>
      <c r="D106">
        <v>41.924528301886802</v>
      </c>
      <c r="E106">
        <v>57</v>
      </c>
      <c r="F106">
        <v>870</v>
      </c>
      <c r="G106">
        <v>4321</v>
      </c>
      <c r="H106">
        <v>328</v>
      </c>
      <c r="I106">
        <v>288</v>
      </c>
      <c r="J106">
        <v>192.73584905999999</v>
      </c>
      <c r="K106" t="s">
        <v>283</v>
      </c>
      <c r="L106" t="s">
        <v>237</v>
      </c>
      <c r="M106">
        <v>2</v>
      </c>
      <c r="N106" t="s">
        <v>28</v>
      </c>
      <c r="O106" t="s">
        <v>29</v>
      </c>
      <c r="P106" t="s">
        <v>5</v>
      </c>
      <c r="Q106" t="s">
        <v>5</v>
      </c>
      <c r="R106">
        <f>sheet9[[#This Row],[sheet6.Quantity on Hand]]*sheet9[[#This Row],[Cost]]</f>
        <v>83.849056603773604</v>
      </c>
      <c r="S106">
        <f>sheet9[[#This Row],[Quantity]]*sheet9[[#This Row],[Cost]]</f>
        <v>41.924528301886802</v>
      </c>
      <c r="T106">
        <f>sheet9[[#This Row],[sheet8.Sales Amount]]-sheet9[[#This Row],[sheet8.Cost Amount]]</f>
        <v>95.264150940000007</v>
      </c>
      <c r="U106">
        <v>2</v>
      </c>
      <c r="V106" t="str">
        <f t="shared" si="3"/>
        <v>under stock</v>
      </c>
      <c r="W106">
        <f>sheet9[[#This Row],[sheet8.Sales Amount]]-sheet9[[#This Row],[sheet8.Cost Amount]]/sheet9[[#This Row],[sheet8.Sales Amount]]*100</f>
        <v>221.07783018750001</v>
      </c>
    </row>
    <row r="107" spans="1:23">
      <c r="A107">
        <v>538541</v>
      </c>
      <c r="B107" s="1">
        <v>44060.27134259259</v>
      </c>
      <c r="C107">
        <v>3</v>
      </c>
      <c r="D107">
        <v>213.9936507936508</v>
      </c>
      <c r="E107">
        <v>288</v>
      </c>
      <c r="F107">
        <v>770</v>
      </c>
      <c r="G107">
        <v>4329</v>
      </c>
      <c r="H107">
        <v>4</v>
      </c>
      <c r="I107">
        <v>502.5</v>
      </c>
      <c r="J107">
        <v>407.31428570999998</v>
      </c>
      <c r="K107" t="s">
        <v>230</v>
      </c>
      <c r="L107" t="s">
        <v>229</v>
      </c>
      <c r="M107">
        <v>2</v>
      </c>
      <c r="N107" t="s">
        <v>174</v>
      </c>
      <c r="O107" t="s">
        <v>175</v>
      </c>
      <c r="P107" t="s">
        <v>2</v>
      </c>
      <c r="Q107" t="s">
        <v>6</v>
      </c>
      <c r="R107">
        <f>sheet9[[#This Row],[sheet6.Quantity on Hand]]*sheet9[[#This Row],[Cost]]</f>
        <v>427.9873015873016</v>
      </c>
      <c r="S107">
        <f>sheet9[[#This Row],[Quantity]]*sheet9[[#This Row],[Cost]]</f>
        <v>641.98095238095243</v>
      </c>
      <c r="T107">
        <f>sheet9[[#This Row],[sheet8.Sales Amount]]-sheet9[[#This Row],[sheet8.Cost Amount]]</f>
        <v>95.185714290000021</v>
      </c>
      <c r="U107">
        <v>2</v>
      </c>
      <c r="V107" t="str">
        <f t="shared" si="3"/>
        <v>over stock</v>
      </c>
      <c r="W107">
        <f>sheet9[[#This Row],[sheet8.Sales Amount]]-sheet9[[#This Row],[sheet8.Cost Amount]]/sheet9[[#This Row],[sheet8.Sales Amount]]*100</f>
        <v>421.4424307044776</v>
      </c>
    </row>
    <row r="108" spans="1:23">
      <c r="A108">
        <v>538693</v>
      </c>
      <c r="B108" s="1">
        <v>44894.570821759262</v>
      </c>
      <c r="C108">
        <v>1</v>
      </c>
      <c r="D108">
        <v>68.716931216931215</v>
      </c>
      <c r="E108">
        <v>146.5</v>
      </c>
      <c r="F108">
        <v>394</v>
      </c>
      <c r="G108">
        <v>4330</v>
      </c>
      <c r="H108">
        <v>766</v>
      </c>
      <c r="I108">
        <v>146.5</v>
      </c>
      <c r="J108">
        <v>68.716931216999996</v>
      </c>
      <c r="K108" t="s">
        <v>317</v>
      </c>
      <c r="L108" t="s">
        <v>310</v>
      </c>
      <c r="M108">
        <v>1</v>
      </c>
      <c r="N108" t="s">
        <v>52</v>
      </c>
      <c r="O108" t="s">
        <v>53</v>
      </c>
      <c r="P108" t="s">
        <v>5</v>
      </c>
      <c r="Q108" t="s">
        <v>5</v>
      </c>
      <c r="R108">
        <f>sheet9[[#This Row],[sheet6.Quantity on Hand]]*sheet9[[#This Row],[Cost]]</f>
        <v>68.716931216931215</v>
      </c>
      <c r="S108">
        <f>sheet9[[#This Row],[Quantity]]*sheet9[[#This Row],[Cost]]</f>
        <v>68.716931216931215</v>
      </c>
      <c r="T108">
        <f>sheet9[[#This Row],[sheet8.Sales Amount]]-sheet9[[#This Row],[sheet8.Cost Amount]]</f>
        <v>77.783068783000004</v>
      </c>
      <c r="U108">
        <v>2</v>
      </c>
      <c r="V108" t="str">
        <f t="shared" si="3"/>
        <v>under stock</v>
      </c>
      <c r="W108">
        <f>sheet9[[#This Row],[sheet8.Sales Amount]]-sheet9[[#This Row],[sheet8.Cost Amount]]/sheet9[[#This Row],[sheet8.Sales Amount]]*100</f>
        <v>99.594244903071683</v>
      </c>
    </row>
    <row r="109" spans="1:23">
      <c r="A109">
        <v>384785</v>
      </c>
      <c r="B109" s="1">
        <v>44519.139050925929</v>
      </c>
      <c r="C109">
        <v>2</v>
      </c>
      <c r="D109">
        <v>606.42592592592598</v>
      </c>
      <c r="E109">
        <v>839.5</v>
      </c>
      <c r="F109">
        <v>178</v>
      </c>
      <c r="G109">
        <v>3072</v>
      </c>
      <c r="H109">
        <v>354</v>
      </c>
      <c r="I109">
        <v>230.5</v>
      </c>
      <c r="J109">
        <v>151.38888889</v>
      </c>
      <c r="K109" t="s">
        <v>291</v>
      </c>
      <c r="L109" t="s">
        <v>237</v>
      </c>
      <c r="M109">
        <v>2</v>
      </c>
      <c r="N109" t="s">
        <v>12</v>
      </c>
      <c r="O109" t="s">
        <v>13</v>
      </c>
      <c r="P109" t="s">
        <v>2</v>
      </c>
      <c r="Q109" t="s">
        <v>2</v>
      </c>
      <c r="R109">
        <f>sheet9[[#This Row],[sheet6.Quantity on Hand]]*sheet9[[#This Row],[Cost]]</f>
        <v>1212.851851851852</v>
      </c>
      <c r="S109">
        <f>sheet9[[#This Row],[Quantity]]*sheet9[[#This Row],[Cost]]</f>
        <v>1212.851851851852</v>
      </c>
      <c r="T109">
        <f>sheet9[[#This Row],[sheet8.Sales Amount]]-sheet9[[#This Row],[sheet8.Cost Amount]]</f>
        <v>79.111111109999996</v>
      </c>
      <c r="U109">
        <v>2</v>
      </c>
      <c r="V109" t="str">
        <f t="shared" si="3"/>
        <v>over stock</v>
      </c>
      <c r="W109">
        <f>sheet9[[#This Row],[sheet8.Sales Amount]]-sheet9[[#This Row],[sheet8.Cost Amount]]/sheet9[[#This Row],[sheet8.Sales Amount]]*100</f>
        <v>164.8215232581345</v>
      </c>
    </row>
    <row r="110" spans="1:23">
      <c r="A110">
        <v>391171</v>
      </c>
      <c r="B110" s="1">
        <v>44863.546805555554</v>
      </c>
      <c r="C110">
        <v>3</v>
      </c>
      <c r="D110">
        <v>79.532710280373834</v>
      </c>
      <c r="E110">
        <v>120</v>
      </c>
      <c r="F110">
        <v>984</v>
      </c>
      <c r="G110">
        <v>3123</v>
      </c>
      <c r="H110">
        <v>66</v>
      </c>
      <c r="I110">
        <v>360</v>
      </c>
      <c r="J110">
        <v>238.59813084000001</v>
      </c>
      <c r="K110" t="s">
        <v>243</v>
      </c>
      <c r="L110" t="s">
        <v>237</v>
      </c>
      <c r="M110">
        <v>2</v>
      </c>
      <c r="N110" t="s">
        <v>218</v>
      </c>
      <c r="O110" t="s">
        <v>219</v>
      </c>
      <c r="P110" t="s">
        <v>2</v>
      </c>
      <c r="Q110" t="s">
        <v>5</v>
      </c>
      <c r="R110">
        <f>sheet9[[#This Row],[sheet6.Quantity on Hand]]*sheet9[[#This Row],[Cost]]</f>
        <v>159.06542056074767</v>
      </c>
      <c r="S110">
        <f>sheet9[[#This Row],[Quantity]]*sheet9[[#This Row],[Cost]]</f>
        <v>238.5981308411215</v>
      </c>
      <c r="T110">
        <f>sheet9[[#This Row],[sheet8.Sales Amount]]-sheet9[[#This Row],[sheet8.Cost Amount]]</f>
        <v>121.40186915999999</v>
      </c>
      <c r="U110">
        <v>2</v>
      </c>
      <c r="V110" t="str">
        <f t="shared" si="3"/>
        <v>over stock</v>
      </c>
      <c r="W110">
        <f>sheet9[[#This Row],[sheet8.Sales Amount]]-sheet9[[#This Row],[sheet8.Cost Amount]]/sheet9[[#This Row],[sheet8.Sales Amount]]*100</f>
        <v>293.72274143333334</v>
      </c>
    </row>
    <row r="111" spans="1:23">
      <c r="A111">
        <v>543451</v>
      </c>
      <c r="B111" s="1">
        <v>44284.371736111112</v>
      </c>
      <c r="C111">
        <v>1</v>
      </c>
      <c r="D111">
        <v>388.48214285714278</v>
      </c>
      <c r="E111">
        <v>613.5</v>
      </c>
      <c r="F111">
        <v>341</v>
      </c>
      <c r="G111">
        <v>4366</v>
      </c>
      <c r="H111">
        <v>369</v>
      </c>
      <c r="I111">
        <v>613.5</v>
      </c>
      <c r="J111">
        <v>388.48214286000001</v>
      </c>
      <c r="K111" t="s">
        <v>295</v>
      </c>
      <c r="L111" t="s">
        <v>237</v>
      </c>
      <c r="M111">
        <v>1</v>
      </c>
      <c r="N111" t="s">
        <v>66</v>
      </c>
      <c r="O111" t="s">
        <v>67</v>
      </c>
      <c r="P111" t="s">
        <v>2</v>
      </c>
      <c r="Q111" t="s">
        <v>4</v>
      </c>
      <c r="R111">
        <f>sheet9[[#This Row],[sheet6.Quantity on Hand]]*sheet9[[#This Row],[Cost]]</f>
        <v>388.48214285714278</v>
      </c>
      <c r="S111">
        <f>sheet9[[#This Row],[Quantity]]*sheet9[[#This Row],[Cost]]</f>
        <v>388.48214285714278</v>
      </c>
      <c r="T111">
        <f>sheet9[[#This Row],[sheet8.Sales Amount]]-sheet9[[#This Row],[sheet8.Cost Amount]]</f>
        <v>225.01785713999999</v>
      </c>
      <c r="U111">
        <v>2</v>
      </c>
      <c r="V111" t="str">
        <f t="shared" si="3"/>
        <v>under stock</v>
      </c>
      <c r="W111">
        <f>sheet9[[#This Row],[sheet8.Sales Amount]]-sheet9[[#This Row],[sheet8.Cost Amount]]/sheet9[[#This Row],[sheet8.Sales Amount]]*100</f>
        <v>550.17772732518335</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407D7-0DAE-4EB9-8D85-5D72A872BB41}">
  <dimension ref="A3:B17"/>
  <sheetViews>
    <sheetView zoomScale="59" workbookViewId="0"/>
  </sheetViews>
  <sheetFormatPr defaultRowHeight="14.5"/>
  <cols>
    <col min="1" max="1" width="14.26953125" bestFit="1" customWidth="1"/>
    <col min="2" max="2" width="25.6328125" bestFit="1" customWidth="1"/>
    <col min="3" max="3" width="4.81640625" bestFit="1" customWidth="1"/>
    <col min="4" max="4" width="6.81640625" bestFit="1" customWidth="1"/>
    <col min="5" max="6" width="4.81640625" bestFit="1" customWidth="1"/>
    <col min="7" max="7" width="7.81640625" bestFit="1" customWidth="1"/>
    <col min="8" max="8" width="4.81640625" bestFit="1" customWidth="1"/>
    <col min="9" max="10" width="7.81640625" bestFit="1" customWidth="1"/>
    <col min="11" max="11" width="6.81640625" bestFit="1" customWidth="1"/>
    <col min="12" max="12" width="4.81640625" bestFit="1" customWidth="1"/>
    <col min="13" max="13" width="10.7265625" bestFit="1" customWidth="1"/>
    <col min="14" max="111" width="15.1796875" bestFit="1" customWidth="1"/>
    <col min="112" max="112" width="10.7265625" bestFit="1" customWidth="1"/>
  </cols>
  <sheetData>
    <row r="3" spans="1:2">
      <c r="A3" s="12" t="s">
        <v>359</v>
      </c>
      <c r="B3" t="s">
        <v>358</v>
      </c>
    </row>
    <row r="4" spans="1:2">
      <c r="A4" s="14" t="s">
        <v>374</v>
      </c>
    </row>
    <row r="5" spans="1:2">
      <c r="A5" s="17" t="s">
        <v>381</v>
      </c>
      <c r="B5">
        <v>700</v>
      </c>
    </row>
    <row r="6" spans="1:2">
      <c r="A6" s="18" t="s">
        <v>382</v>
      </c>
      <c r="B6">
        <v>114</v>
      </c>
    </row>
    <row r="7" spans="1:2">
      <c r="A7" s="18" t="s">
        <v>383</v>
      </c>
      <c r="B7">
        <v>586</v>
      </c>
    </row>
    <row r="8" spans="1:2">
      <c r="A8" s="14" t="s">
        <v>375</v>
      </c>
    </row>
    <row r="9" spans="1:2">
      <c r="A9" s="17" t="s">
        <v>381</v>
      </c>
      <c r="B9">
        <v>349.5</v>
      </c>
    </row>
    <row r="10" spans="1:2">
      <c r="A10" s="18" t="s">
        <v>382</v>
      </c>
      <c r="B10">
        <v>109.5</v>
      </c>
    </row>
    <row r="11" spans="1:2">
      <c r="A11" s="18" t="s">
        <v>383</v>
      </c>
      <c r="B11">
        <v>240</v>
      </c>
    </row>
    <row r="12" spans="1:2">
      <c r="A12" s="14" t="s">
        <v>361</v>
      </c>
    </row>
    <row r="13" spans="1:2">
      <c r="A13" s="17" t="s">
        <v>381</v>
      </c>
      <c r="B13">
        <v>1496.5</v>
      </c>
    </row>
    <row r="14" spans="1:2">
      <c r="A14" s="18" t="s">
        <v>382</v>
      </c>
      <c r="B14">
        <v>303</v>
      </c>
    </row>
    <row r="15" spans="1:2">
      <c r="A15" s="18" t="s">
        <v>383</v>
      </c>
      <c r="B15">
        <v>1193.5</v>
      </c>
    </row>
    <row r="16" spans="1:2">
      <c r="A16" s="14" t="s">
        <v>376</v>
      </c>
      <c r="B16" t="e">
        <v>#N/A</v>
      </c>
    </row>
    <row r="17" spans="1:1">
      <c r="A17" s="14" t="s">
        <v>360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6DB8E-469A-49AE-85C6-FF04B3BBB56D}">
  <dimension ref="A3:B18"/>
  <sheetViews>
    <sheetView zoomScale="57" workbookViewId="0"/>
  </sheetViews>
  <sheetFormatPr defaultRowHeight="14.5"/>
  <cols>
    <col min="1" max="1" width="22.1796875" bestFit="1" customWidth="1"/>
    <col min="2" max="2" width="25.54296875" bestFit="1" customWidth="1"/>
  </cols>
  <sheetData>
    <row r="3" spans="1:2">
      <c r="A3" s="12" t="s">
        <v>359</v>
      </c>
      <c r="B3" t="s">
        <v>358</v>
      </c>
    </row>
    <row r="4" spans="1:2">
      <c r="A4" s="14" t="s">
        <v>58</v>
      </c>
      <c r="B4">
        <v>723</v>
      </c>
    </row>
    <row r="5" spans="1:2">
      <c r="A5" s="14" t="s">
        <v>138</v>
      </c>
      <c r="B5">
        <v>240</v>
      </c>
    </row>
    <row r="6" spans="1:2">
      <c r="A6" s="14" t="s">
        <v>52</v>
      </c>
      <c r="B6">
        <v>146.5</v>
      </c>
    </row>
    <row r="7" spans="1:2">
      <c r="A7" s="14" t="s">
        <v>192</v>
      </c>
      <c r="B7">
        <v>240</v>
      </c>
    </row>
    <row r="8" spans="1:2">
      <c r="A8" s="14" t="s">
        <v>170</v>
      </c>
      <c r="B8">
        <v>115</v>
      </c>
    </row>
    <row r="9" spans="1:2">
      <c r="A9" s="14" t="s">
        <v>154</v>
      </c>
      <c r="B9">
        <v>287.5</v>
      </c>
    </row>
    <row r="10" spans="1:2">
      <c r="A10" s="14" t="s">
        <v>12</v>
      </c>
      <c r="B10">
        <v>230.5</v>
      </c>
    </row>
    <row r="11" spans="1:2">
      <c r="A11" s="14" t="s">
        <v>56</v>
      </c>
      <c r="B11">
        <v>99</v>
      </c>
    </row>
    <row r="12" spans="1:2">
      <c r="A12" s="14" t="s">
        <v>202</v>
      </c>
      <c r="B12">
        <v>109.5</v>
      </c>
    </row>
    <row r="13" spans="1:2">
      <c r="A13" s="14" t="s">
        <v>222</v>
      </c>
      <c r="B13">
        <v>114</v>
      </c>
    </row>
    <row r="14" spans="1:2">
      <c r="A14" s="14" t="s">
        <v>198</v>
      </c>
      <c r="B14">
        <v>471</v>
      </c>
    </row>
    <row r="15" spans="1:2">
      <c r="A15" s="14" t="s">
        <v>84</v>
      </c>
      <c r="B15">
        <v>204</v>
      </c>
    </row>
    <row r="16" spans="1:2">
      <c r="A16" s="14" t="s">
        <v>218</v>
      </c>
      <c r="B16">
        <v>360</v>
      </c>
    </row>
    <row r="17" spans="1:2">
      <c r="A17" s="14" t="s">
        <v>220</v>
      </c>
      <c r="B17">
        <v>335.5</v>
      </c>
    </row>
    <row r="18" spans="1:2">
      <c r="A18" s="14" t="s">
        <v>360</v>
      </c>
      <c r="B18">
        <v>3675.5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03A4C-1FAE-4CF7-874F-256C1F9DCA50}">
  <dimension ref="A3:B9"/>
  <sheetViews>
    <sheetView zoomScale="47" workbookViewId="0"/>
  </sheetViews>
  <sheetFormatPr defaultRowHeight="14.5"/>
  <cols>
    <col min="1" max="1" width="17.26953125" bestFit="1" customWidth="1"/>
    <col min="2" max="2" width="29.08984375" bestFit="1" customWidth="1"/>
  </cols>
  <sheetData>
    <row r="3" spans="1:2">
      <c r="A3" s="12" t="s">
        <v>359</v>
      </c>
      <c r="B3" t="s">
        <v>358</v>
      </c>
    </row>
    <row r="4" spans="1:2">
      <c r="A4" s="14" t="s">
        <v>6</v>
      </c>
      <c r="B4" s="15">
        <v>1062</v>
      </c>
    </row>
    <row r="5" spans="1:2">
      <c r="A5" s="14" t="s">
        <v>5</v>
      </c>
      <c r="B5" s="15">
        <v>465.5</v>
      </c>
    </row>
    <row r="6" spans="1:2">
      <c r="A6" s="14" t="s">
        <v>4</v>
      </c>
      <c r="B6" s="15">
        <v>806.5</v>
      </c>
    </row>
    <row r="7" spans="1:2">
      <c r="A7" s="14" t="s">
        <v>3</v>
      </c>
      <c r="B7" s="15">
        <v>397</v>
      </c>
    </row>
    <row r="8" spans="1:2">
      <c r="A8" s="14" t="s">
        <v>2</v>
      </c>
      <c r="B8" s="15">
        <v>944.5</v>
      </c>
    </row>
    <row r="9" spans="1:2">
      <c r="A9" s="14" t="s">
        <v>360</v>
      </c>
      <c r="B9" s="15">
        <v>3675.5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FA7BB-80FB-48E2-A60C-CA7352447D83}">
  <dimension ref="A3:B8"/>
  <sheetViews>
    <sheetView zoomScale="73" workbookViewId="0">
      <selection activeCell="A8" sqref="A8"/>
    </sheetView>
  </sheetViews>
  <sheetFormatPr defaultRowHeight="14.5"/>
  <cols>
    <col min="1" max="1" width="13.453125" bestFit="1" customWidth="1"/>
    <col min="2" max="2" width="25.6328125" bestFit="1" customWidth="1"/>
  </cols>
  <sheetData>
    <row r="3" spans="1:2">
      <c r="A3" s="12" t="s">
        <v>359</v>
      </c>
      <c r="B3" t="s">
        <v>358</v>
      </c>
    </row>
    <row r="4" spans="1:2">
      <c r="A4" s="14" t="s">
        <v>374</v>
      </c>
      <c r="B4">
        <v>700</v>
      </c>
    </row>
    <row r="5" spans="1:2">
      <c r="A5" s="14" t="s">
        <v>375</v>
      </c>
      <c r="B5">
        <v>349.5</v>
      </c>
    </row>
    <row r="6" spans="1:2">
      <c r="A6" s="14" t="s">
        <v>361</v>
      </c>
      <c r="B6">
        <v>1496.5</v>
      </c>
    </row>
    <row r="7" spans="1:2">
      <c r="A7" s="14" t="s">
        <v>376</v>
      </c>
      <c r="B7">
        <v>1129.5</v>
      </c>
    </row>
    <row r="8" spans="1:2">
      <c r="A8" s="14" t="s">
        <v>360</v>
      </c>
      <c r="B8">
        <v>3675.5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5B98F-9533-4664-86A1-0EA398923F6C}">
  <dimension ref="A3:B18"/>
  <sheetViews>
    <sheetView zoomScale="76" workbookViewId="0">
      <selection activeCell="A4" sqref="A4"/>
    </sheetView>
  </sheetViews>
  <sheetFormatPr defaultRowHeight="14.5"/>
  <cols>
    <col min="1" max="1" width="16.36328125" bestFit="1" customWidth="1"/>
    <col min="2" max="2" width="25.81640625" bestFit="1" customWidth="1"/>
  </cols>
  <sheetData>
    <row r="3" spans="1:2">
      <c r="A3" s="12" t="s">
        <v>359</v>
      </c>
      <c r="B3" t="s">
        <v>358</v>
      </c>
    </row>
    <row r="4" spans="1:2">
      <c r="A4" s="13">
        <v>43769.439710648148</v>
      </c>
      <c r="B4">
        <v>114</v>
      </c>
    </row>
    <row r="5" spans="1:2">
      <c r="A5" s="13">
        <v>43772.035011574073</v>
      </c>
      <c r="B5">
        <v>115</v>
      </c>
    </row>
    <row r="6" spans="1:2">
      <c r="A6" s="13">
        <v>43786.513206018521</v>
      </c>
      <c r="B6">
        <v>471</v>
      </c>
    </row>
    <row r="7" spans="1:2">
      <c r="A7" s="13">
        <v>44124.055474537039</v>
      </c>
      <c r="B7">
        <v>109.5</v>
      </c>
    </row>
    <row r="8" spans="1:2">
      <c r="A8" s="13">
        <v>44163.714282407411</v>
      </c>
      <c r="B8">
        <v>240</v>
      </c>
    </row>
    <row r="9" spans="1:2">
      <c r="A9" s="13">
        <v>44474.177858796298</v>
      </c>
      <c r="B9">
        <v>99</v>
      </c>
    </row>
    <row r="10" spans="1:2">
      <c r="A10" s="13">
        <v>44500.58021990741</v>
      </c>
      <c r="B10">
        <v>204</v>
      </c>
    </row>
    <row r="11" spans="1:2">
      <c r="A11" s="13">
        <v>44502.342685185184</v>
      </c>
      <c r="B11">
        <v>240</v>
      </c>
    </row>
    <row r="12" spans="1:2">
      <c r="A12" s="13">
        <v>44519.139050925929</v>
      </c>
      <c r="B12">
        <v>230.5</v>
      </c>
    </row>
    <row r="13" spans="1:2">
      <c r="A13" s="13">
        <v>44524.734027777777</v>
      </c>
      <c r="B13">
        <v>723</v>
      </c>
    </row>
    <row r="14" spans="1:2">
      <c r="A14" s="13">
        <v>44855.869814814818</v>
      </c>
      <c r="B14">
        <v>335.5</v>
      </c>
    </row>
    <row r="15" spans="1:2">
      <c r="A15" s="13">
        <v>44860.660671296297</v>
      </c>
      <c r="B15">
        <v>287.5</v>
      </c>
    </row>
    <row r="16" spans="1:2">
      <c r="A16" s="13">
        <v>44863.546805555554</v>
      </c>
      <c r="B16">
        <v>360</v>
      </c>
    </row>
    <row r="17" spans="1:2">
      <c r="A17" s="13">
        <v>44894.570821759262</v>
      </c>
      <c r="B17">
        <v>146.5</v>
      </c>
    </row>
    <row r="18" spans="1:2">
      <c r="A18" s="13" t="s">
        <v>360</v>
      </c>
      <c r="B18">
        <v>3675.5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522A6-71ED-45C6-9AE0-8367684FD98B}">
  <dimension ref="A3:L25"/>
  <sheetViews>
    <sheetView zoomScale="50" workbookViewId="0">
      <selection activeCell="K28" sqref="K28"/>
    </sheetView>
  </sheetViews>
  <sheetFormatPr defaultRowHeight="14.5"/>
  <cols>
    <col min="1" max="1" width="35.36328125" bestFit="1" customWidth="1"/>
    <col min="2" max="2" width="31" bestFit="1" customWidth="1"/>
  </cols>
  <sheetData>
    <row r="3" spans="1:12">
      <c r="A3" s="12" t="s">
        <v>359</v>
      </c>
      <c r="B3" t="s">
        <v>358</v>
      </c>
    </row>
    <row r="4" spans="1:12">
      <c r="A4" s="14" t="s">
        <v>333</v>
      </c>
      <c r="B4">
        <v>240</v>
      </c>
    </row>
    <row r="5" spans="1:12">
      <c r="A5" s="14" t="s">
        <v>360</v>
      </c>
      <c r="B5">
        <v>240</v>
      </c>
    </row>
    <row r="8" spans="1:12">
      <c r="J8" s="2"/>
      <c r="K8" s="3"/>
      <c r="L8" s="4"/>
    </row>
    <row r="9" spans="1:12">
      <c r="J9" s="5"/>
      <c r="K9" s="6"/>
      <c r="L9" s="7"/>
    </row>
    <row r="10" spans="1:12">
      <c r="J10" s="5"/>
      <c r="K10" s="6"/>
      <c r="L10" s="7"/>
    </row>
    <row r="11" spans="1:12">
      <c r="J11" s="5"/>
      <c r="K11" s="6"/>
      <c r="L11" s="7"/>
    </row>
    <row r="12" spans="1:12">
      <c r="J12" s="5"/>
      <c r="K12" s="6"/>
      <c r="L12" s="7"/>
    </row>
    <row r="13" spans="1:12">
      <c r="J13" s="5"/>
      <c r="K13" s="6"/>
      <c r="L13" s="7"/>
    </row>
    <row r="14" spans="1:12">
      <c r="J14" s="5"/>
      <c r="K14" s="6"/>
      <c r="L14" s="7"/>
    </row>
    <row r="15" spans="1:12">
      <c r="J15" s="5"/>
      <c r="K15" s="6"/>
      <c r="L15" s="7"/>
    </row>
    <row r="16" spans="1:12">
      <c r="J16" s="5"/>
      <c r="K16" s="6"/>
      <c r="L16" s="7"/>
    </row>
    <row r="17" spans="10:12">
      <c r="J17" s="5"/>
      <c r="K17" s="6"/>
      <c r="L17" s="7"/>
    </row>
    <row r="18" spans="10:12">
      <c r="J18" s="5"/>
      <c r="K18" s="6"/>
      <c r="L18" s="7"/>
    </row>
    <row r="19" spans="10:12">
      <c r="J19" s="5"/>
      <c r="K19" s="6"/>
      <c r="L19" s="7"/>
    </row>
    <row r="20" spans="10:12">
      <c r="J20" s="5"/>
      <c r="K20" s="6"/>
      <c r="L20" s="7"/>
    </row>
    <row r="21" spans="10:12">
      <c r="J21" s="5"/>
      <c r="K21" s="6"/>
      <c r="L21" s="7"/>
    </row>
    <row r="22" spans="10:12">
      <c r="J22" s="5"/>
      <c r="K22" s="6"/>
      <c r="L22" s="7"/>
    </row>
    <row r="23" spans="10:12">
      <c r="J23" s="5"/>
      <c r="K23" s="6"/>
      <c r="L23" s="7"/>
    </row>
    <row r="24" spans="10:12">
      <c r="J24" s="5"/>
      <c r="K24" s="6"/>
      <c r="L24" s="7"/>
    </row>
    <row r="25" spans="10:12">
      <c r="J25" s="8"/>
      <c r="K25" s="9"/>
      <c r="L25" s="10"/>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BB706-CBC2-4128-8725-54C2007234E5}">
  <dimension ref="A3:B18"/>
  <sheetViews>
    <sheetView zoomScale="71" workbookViewId="0">
      <selection activeCell="A3" sqref="A3"/>
    </sheetView>
  </sheetViews>
  <sheetFormatPr defaultRowHeight="14.5"/>
  <cols>
    <col min="1" max="1" width="15.54296875" bestFit="1" customWidth="1"/>
    <col min="2" max="2" width="17.7265625" bestFit="1" customWidth="1"/>
  </cols>
  <sheetData>
    <row r="3" spans="1:2">
      <c r="A3" s="12" t="s">
        <v>359</v>
      </c>
      <c r="B3" t="s">
        <v>363</v>
      </c>
    </row>
    <row r="4" spans="1:2">
      <c r="A4" s="13">
        <v>43769.439710648148</v>
      </c>
      <c r="B4">
        <v>38.392523363999999</v>
      </c>
    </row>
    <row r="5" spans="1:2">
      <c r="A5" s="13">
        <v>43772.035011574073</v>
      </c>
      <c r="B5">
        <v>38.738317757000004</v>
      </c>
    </row>
    <row r="6" spans="1:2">
      <c r="A6" s="13">
        <v>43786.513206018521</v>
      </c>
      <c r="B6">
        <v>99.888888889999976</v>
      </c>
    </row>
    <row r="7" spans="1:2">
      <c r="A7" s="13">
        <v>44124.055474537039</v>
      </c>
      <c r="B7">
        <v>36.929906541999998</v>
      </c>
    </row>
    <row r="8" spans="1:2">
      <c r="A8" s="13">
        <v>44163.714282407411</v>
      </c>
      <c r="B8">
        <v>82.40740740999999</v>
      </c>
    </row>
    <row r="9" spans="1:2">
      <c r="A9" s="13">
        <v>44474.177858796298</v>
      </c>
      <c r="B9">
        <v>77.130841121000003</v>
      </c>
    </row>
    <row r="10" spans="1:2">
      <c r="A10" s="13">
        <v>44500.58021990741</v>
      </c>
      <c r="B10">
        <v>68.766355140000002</v>
      </c>
    </row>
    <row r="11" spans="1:2">
      <c r="A11" s="13">
        <v>44502.342685185184</v>
      </c>
      <c r="B11">
        <v>65.028037380000001</v>
      </c>
    </row>
    <row r="12" spans="1:2">
      <c r="A12" s="13">
        <v>44519.139050925929</v>
      </c>
      <c r="B12">
        <v>79.111111109999996</v>
      </c>
    </row>
    <row r="13" spans="1:2">
      <c r="A13" s="13">
        <v>44524.734027777777</v>
      </c>
      <c r="B13">
        <v>248.18518519000003</v>
      </c>
    </row>
    <row r="14" spans="1:2">
      <c r="A14" s="13">
        <v>44855.869814814818</v>
      </c>
      <c r="B14">
        <v>261.38785046700002</v>
      </c>
    </row>
    <row r="15" spans="1:2">
      <c r="A15" s="13">
        <v>44860.660671296297</v>
      </c>
      <c r="B15">
        <v>96.939252339999996</v>
      </c>
    </row>
    <row r="16" spans="1:2">
      <c r="A16" s="13">
        <v>44863.546805555554</v>
      </c>
      <c r="B16">
        <v>121.40186915999999</v>
      </c>
    </row>
    <row r="17" spans="1:2">
      <c r="A17" s="13">
        <v>44894.570821759262</v>
      </c>
      <c r="B17">
        <v>77.783068783000004</v>
      </c>
    </row>
    <row r="18" spans="1:2">
      <c r="A18" s="13" t="s">
        <v>360</v>
      </c>
      <c r="B18">
        <v>1392.0906146539999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2E987-1CD7-47FF-B763-F97554546FFE}">
  <dimension ref="A3:E9"/>
  <sheetViews>
    <sheetView zoomScale="76" workbookViewId="0">
      <selection activeCell="B4" sqref="B4"/>
    </sheetView>
  </sheetViews>
  <sheetFormatPr defaultRowHeight="14.5"/>
  <cols>
    <col min="1" max="1" width="13.6328125" bestFit="1" customWidth="1"/>
    <col min="2" max="2" width="17.08984375" bestFit="1" customWidth="1"/>
    <col min="3" max="3" width="20.08984375" bestFit="1" customWidth="1"/>
    <col min="4" max="4" width="19.453125" bestFit="1" customWidth="1"/>
    <col min="5" max="5" width="17.08984375" customWidth="1"/>
  </cols>
  <sheetData>
    <row r="3" spans="1:5">
      <c r="A3" s="12" t="s">
        <v>359</v>
      </c>
      <c r="B3" t="s">
        <v>363</v>
      </c>
      <c r="E3" s="11"/>
    </row>
    <row r="4" spans="1:5">
      <c r="A4" s="14" t="s">
        <v>6</v>
      </c>
      <c r="B4" s="15">
        <v>1632.5602891270003</v>
      </c>
    </row>
    <row r="5" spans="1:5">
      <c r="A5" s="14" t="s">
        <v>5</v>
      </c>
      <c r="B5" s="15">
        <v>2421.215989451</v>
      </c>
    </row>
    <row r="6" spans="1:5">
      <c r="A6" s="14" t="s">
        <v>4</v>
      </c>
      <c r="B6" s="15">
        <v>5284.5541495800007</v>
      </c>
    </row>
    <row r="7" spans="1:5">
      <c r="A7" s="14" t="s">
        <v>3</v>
      </c>
      <c r="B7" s="15">
        <v>2067.3794902830005</v>
      </c>
    </row>
    <row r="8" spans="1:5">
      <c r="A8" s="14" t="s">
        <v>2</v>
      </c>
      <c r="B8" s="15">
        <v>4060.2434544729999</v>
      </c>
    </row>
    <row r="9" spans="1:5">
      <c r="A9" s="14" t="s">
        <v>360</v>
      </c>
      <c r="B9" s="15">
        <v>15465.953372913993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16E4D-FA75-46CD-B65A-1D8A7ED45AFE}">
  <dimension ref="A3:A4"/>
  <sheetViews>
    <sheetView workbookViewId="0"/>
  </sheetViews>
  <sheetFormatPr defaultRowHeight="14.5"/>
  <cols>
    <col min="1" max="1" width="18.26953125" bestFit="1" customWidth="1"/>
  </cols>
  <sheetData>
    <row r="3" spans="1:1">
      <c r="A3" t="s">
        <v>378</v>
      </c>
    </row>
    <row r="4" spans="1:1">
      <c r="A4">
        <v>2837.940879148262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87733-7DDE-482D-B8D9-D5B658F1DBE6}">
  <dimension ref="A3:B9"/>
  <sheetViews>
    <sheetView workbookViewId="0">
      <selection activeCell="B4" sqref="B4"/>
    </sheetView>
  </sheetViews>
  <sheetFormatPr defaultRowHeight="14.5"/>
  <cols>
    <col min="1" max="1" width="12.36328125" bestFit="1" customWidth="1"/>
    <col min="2" max="2" width="20.90625" bestFit="1" customWidth="1"/>
  </cols>
  <sheetData>
    <row r="3" spans="1:2">
      <c r="A3" s="12" t="s">
        <v>359</v>
      </c>
      <c r="B3" t="s">
        <v>379</v>
      </c>
    </row>
    <row r="4" spans="1:2">
      <c r="A4" s="14" t="s">
        <v>6</v>
      </c>
      <c r="B4">
        <v>3</v>
      </c>
    </row>
    <row r="5" spans="1:2">
      <c r="A5" s="14" t="s">
        <v>5</v>
      </c>
      <c r="B5">
        <v>3</v>
      </c>
    </row>
    <row r="6" spans="1:2">
      <c r="A6" s="14" t="s">
        <v>4</v>
      </c>
      <c r="B6">
        <v>2</v>
      </c>
    </row>
    <row r="7" spans="1:2">
      <c r="A7" s="14" t="s">
        <v>3</v>
      </c>
      <c r="B7">
        <v>2</v>
      </c>
    </row>
    <row r="8" spans="1:2">
      <c r="A8" s="14" t="s">
        <v>2</v>
      </c>
      <c r="B8">
        <v>4</v>
      </c>
    </row>
    <row r="9" spans="1:2">
      <c r="A9" s="14" t="s">
        <v>360</v>
      </c>
      <c r="B9">
        <v>14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5E1DF-98CB-4701-AB67-6071C5B1B5A0}">
  <dimension ref="A3:B5"/>
  <sheetViews>
    <sheetView topLeftCell="B1" zoomScale="104" workbookViewId="0">
      <selection activeCell="A6" sqref="A4:A13"/>
    </sheetView>
  </sheetViews>
  <sheetFormatPr defaultRowHeight="14.5"/>
  <cols>
    <col min="1" max="1" width="32.54296875" bestFit="1" customWidth="1"/>
    <col min="2" max="2" width="28.54296875" bestFit="1" customWidth="1"/>
  </cols>
  <sheetData>
    <row r="3" spans="1:2">
      <c r="A3" s="12" t="s">
        <v>359</v>
      </c>
      <c r="B3" t="s">
        <v>366</v>
      </c>
    </row>
    <row r="4" spans="1:2">
      <c r="A4" s="14" t="s">
        <v>333</v>
      </c>
      <c r="B4">
        <v>2</v>
      </c>
    </row>
    <row r="5" spans="1:2">
      <c r="A5" s="14" t="s">
        <v>360</v>
      </c>
      <c r="B5">
        <v>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3DBB8-D8FD-4CB1-88DE-A204D2EFCC10}">
  <dimension ref="A3:D19"/>
  <sheetViews>
    <sheetView topLeftCell="B1" zoomScale="125" zoomScaleNormal="55" workbookViewId="0">
      <selection activeCell="A12" sqref="A5:A114"/>
      <pivotSelection pane="bottomRight" showHeader="1" axis="axisRow" activeRow="11" previousRow="11" click="1" r:id="rId1">
        <pivotArea dataOnly="0" labelOnly="1" fieldPosition="0">
          <references count="1">
            <reference field="10" count="0"/>
          </references>
        </pivotArea>
      </pivotSelection>
    </sheetView>
  </sheetViews>
  <sheetFormatPr defaultRowHeight="14.5"/>
  <cols>
    <col min="1" max="1" width="95.54296875" bestFit="1" customWidth="1"/>
    <col min="2" max="2" width="15.26953125" bestFit="1" customWidth="1"/>
    <col min="3" max="3" width="10.7265625" bestFit="1" customWidth="1"/>
    <col min="4" max="4" width="10.81640625" bestFit="1" customWidth="1"/>
  </cols>
  <sheetData>
    <row r="3" spans="1:4">
      <c r="A3" s="12" t="s">
        <v>367</v>
      </c>
      <c r="B3" s="12" t="s">
        <v>364</v>
      </c>
    </row>
    <row r="4" spans="1:4">
      <c r="A4" s="12" t="s">
        <v>359</v>
      </c>
      <c r="B4" t="s">
        <v>373</v>
      </c>
      <c r="C4" t="s">
        <v>372</v>
      </c>
      <c r="D4" t="s">
        <v>360</v>
      </c>
    </row>
    <row r="5" spans="1:4">
      <c r="A5" s="14" t="s">
        <v>333</v>
      </c>
      <c r="C5">
        <v>1</v>
      </c>
      <c r="D5">
        <v>1</v>
      </c>
    </row>
    <row r="6" spans="1:4">
      <c r="A6" s="14" t="s">
        <v>251</v>
      </c>
      <c r="B6">
        <v>2</v>
      </c>
      <c r="D6">
        <v>2</v>
      </c>
    </row>
    <row r="7" spans="1:4">
      <c r="A7" s="14" t="s">
        <v>277</v>
      </c>
      <c r="C7">
        <v>1</v>
      </c>
      <c r="D7">
        <v>1</v>
      </c>
    </row>
    <row r="8" spans="1:4">
      <c r="A8" s="14" t="s">
        <v>285</v>
      </c>
      <c r="B8">
        <v>3</v>
      </c>
      <c r="D8">
        <v>3</v>
      </c>
    </row>
    <row r="9" spans="1:4">
      <c r="A9" s="14" t="s">
        <v>286</v>
      </c>
      <c r="B9">
        <v>3</v>
      </c>
      <c r="D9">
        <v>3</v>
      </c>
    </row>
    <row r="10" spans="1:4">
      <c r="A10" s="14" t="s">
        <v>290</v>
      </c>
      <c r="B10">
        <v>3</v>
      </c>
      <c r="D10">
        <v>3</v>
      </c>
    </row>
    <row r="11" spans="1:4">
      <c r="A11" s="14" t="s">
        <v>291</v>
      </c>
      <c r="B11">
        <v>2</v>
      </c>
      <c r="D11">
        <v>2</v>
      </c>
    </row>
    <row r="12" spans="1:4">
      <c r="A12" s="14" t="s">
        <v>236</v>
      </c>
      <c r="B12">
        <v>2</v>
      </c>
      <c r="D12">
        <v>2</v>
      </c>
    </row>
    <row r="13" spans="1:4">
      <c r="A13" s="14" t="s">
        <v>304</v>
      </c>
      <c r="B13">
        <v>2</v>
      </c>
      <c r="D13">
        <v>2</v>
      </c>
    </row>
    <row r="14" spans="1:4">
      <c r="A14" s="14" t="s">
        <v>242</v>
      </c>
      <c r="C14">
        <v>1</v>
      </c>
      <c r="D14">
        <v>1</v>
      </c>
    </row>
    <row r="15" spans="1:4">
      <c r="A15" s="14" t="s">
        <v>243</v>
      </c>
      <c r="B15">
        <v>3</v>
      </c>
      <c r="D15">
        <v>3</v>
      </c>
    </row>
    <row r="16" spans="1:4">
      <c r="A16" s="14" t="s">
        <v>317</v>
      </c>
      <c r="C16">
        <v>1</v>
      </c>
      <c r="D16">
        <v>1</v>
      </c>
    </row>
    <row r="17" spans="1:4">
      <c r="A17" s="14" t="s">
        <v>319</v>
      </c>
      <c r="C17">
        <v>1</v>
      </c>
      <c r="D17">
        <v>1</v>
      </c>
    </row>
    <row r="18" spans="1:4">
      <c r="A18" s="14" t="s">
        <v>248</v>
      </c>
      <c r="B18">
        <v>2</v>
      </c>
      <c r="D18">
        <v>2</v>
      </c>
    </row>
    <row r="19" spans="1:4">
      <c r="A19" s="14" t="s">
        <v>360</v>
      </c>
      <c r="B19">
        <v>22</v>
      </c>
      <c r="C19">
        <v>5</v>
      </c>
      <c r="D19">
        <v>27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F4972-0F63-459B-961F-4294DAC4A79D}">
  <dimension ref="A3:B114"/>
  <sheetViews>
    <sheetView topLeftCell="B1" zoomScale="103" workbookViewId="0">
      <selection activeCell="B4" sqref="B4"/>
    </sheetView>
  </sheetViews>
  <sheetFormatPr defaultRowHeight="14.5"/>
  <cols>
    <col min="1" max="1" width="117.453125" bestFit="1" customWidth="1"/>
    <col min="2" max="2" width="26.7265625" bestFit="1" customWidth="1"/>
    <col min="3" max="3" width="29.81640625" bestFit="1" customWidth="1"/>
  </cols>
  <sheetData>
    <row r="3" spans="1:2">
      <c r="A3" s="12" t="s">
        <v>359</v>
      </c>
      <c r="B3" t="s">
        <v>370</v>
      </c>
    </row>
    <row r="4" spans="1:2">
      <c r="A4" s="14" t="s">
        <v>333</v>
      </c>
      <c r="B4">
        <v>83.887850467289724</v>
      </c>
    </row>
    <row r="5" spans="1:2">
      <c r="A5" s="14" t="s">
        <v>334</v>
      </c>
      <c r="B5">
        <v>26.666666666666661</v>
      </c>
    </row>
    <row r="6" spans="1:2">
      <c r="A6" s="14" t="s">
        <v>325</v>
      </c>
      <c r="B6">
        <v>259.60000000000002</v>
      </c>
    </row>
    <row r="7" spans="1:2">
      <c r="A7" s="14" t="s">
        <v>326</v>
      </c>
      <c r="B7">
        <v>77.363636363636346</v>
      </c>
    </row>
    <row r="8" spans="1:2">
      <c r="A8" s="14" t="s">
        <v>335</v>
      </c>
      <c r="B8">
        <v>1566.9238095238097</v>
      </c>
    </row>
    <row r="9" spans="1:2">
      <c r="A9" s="14" t="s">
        <v>250</v>
      </c>
      <c r="B9">
        <v>885.05405405405395</v>
      </c>
    </row>
    <row r="10" spans="1:2">
      <c r="A10" s="14" t="s">
        <v>336</v>
      </c>
      <c r="B10">
        <v>169.69486823855755</v>
      </c>
    </row>
    <row r="11" spans="1:2">
      <c r="A11" s="14" t="s">
        <v>327</v>
      </c>
      <c r="B11">
        <v>495.78431372549022</v>
      </c>
    </row>
    <row r="12" spans="1:2">
      <c r="A12" s="14" t="s">
        <v>328</v>
      </c>
      <c r="B12">
        <v>80.636363636363626</v>
      </c>
    </row>
    <row r="13" spans="1:2">
      <c r="A13" s="14" t="s">
        <v>331</v>
      </c>
      <c r="B13">
        <v>2631.2427184466019</v>
      </c>
    </row>
    <row r="14" spans="1:2">
      <c r="A14" s="14" t="s">
        <v>329</v>
      </c>
      <c r="B14">
        <v>861.72727272727252</v>
      </c>
    </row>
    <row r="15" spans="1:2">
      <c r="A15" s="14" t="s">
        <v>330</v>
      </c>
      <c r="B15">
        <v>577.36363636363649</v>
      </c>
    </row>
    <row r="16" spans="1:2">
      <c r="A16" s="14" t="s">
        <v>337</v>
      </c>
      <c r="B16">
        <v>270</v>
      </c>
    </row>
    <row r="17" spans="1:2">
      <c r="A17" s="14" t="s">
        <v>338</v>
      </c>
      <c r="B17">
        <v>250.29411764705884</v>
      </c>
    </row>
    <row r="18" spans="1:2">
      <c r="A18" s="14" t="s">
        <v>339</v>
      </c>
      <c r="B18">
        <v>466.18181818181819</v>
      </c>
    </row>
    <row r="19" spans="1:2">
      <c r="A19" s="14" t="s">
        <v>332</v>
      </c>
      <c r="B19">
        <v>376.87387387387389</v>
      </c>
    </row>
    <row r="20" spans="1:2">
      <c r="A20" s="14" t="s">
        <v>340</v>
      </c>
      <c r="B20">
        <v>42.128712871287128</v>
      </c>
    </row>
    <row r="21" spans="1:2">
      <c r="A21" s="14" t="s">
        <v>341</v>
      </c>
      <c r="B21">
        <v>95.360360360360346</v>
      </c>
    </row>
    <row r="22" spans="1:2">
      <c r="A22" s="14" t="s">
        <v>342</v>
      </c>
      <c r="B22">
        <v>148.6363636363636</v>
      </c>
    </row>
    <row r="23" spans="1:2">
      <c r="A23" s="14" t="s">
        <v>343</v>
      </c>
      <c r="B23">
        <v>21.7843137254902</v>
      </c>
    </row>
    <row r="24" spans="1:2">
      <c r="A24" s="14" t="s">
        <v>344</v>
      </c>
      <c r="B24">
        <v>100.54545454545453</v>
      </c>
    </row>
    <row r="25" spans="1:2">
      <c r="A25" s="14" t="s">
        <v>251</v>
      </c>
      <c r="B25">
        <v>863.96261682243005</v>
      </c>
    </row>
    <row r="26" spans="1:2">
      <c r="A26" s="14" t="s">
        <v>252</v>
      </c>
      <c r="B26">
        <v>294.95454545454538</v>
      </c>
    </row>
    <row r="27" spans="1:2">
      <c r="A27" s="14" t="s">
        <v>253</v>
      </c>
      <c r="B27">
        <v>57.216981132075453</v>
      </c>
    </row>
    <row r="28" spans="1:2">
      <c r="A28" s="14" t="s">
        <v>254</v>
      </c>
      <c r="B28">
        <v>126.0194174757282</v>
      </c>
    </row>
    <row r="29" spans="1:2">
      <c r="A29" s="14" t="s">
        <v>255</v>
      </c>
      <c r="B29">
        <v>41.310679611650478</v>
      </c>
    </row>
    <row r="30" spans="1:2">
      <c r="A30" s="14" t="s">
        <v>256</v>
      </c>
      <c r="B30">
        <v>144.9047619047619</v>
      </c>
    </row>
    <row r="31" spans="1:2">
      <c r="A31" s="14" t="s">
        <v>257</v>
      </c>
      <c r="B31">
        <v>1691.8000000000002</v>
      </c>
    </row>
    <row r="32" spans="1:2">
      <c r="A32" s="14" t="s">
        <v>258</v>
      </c>
      <c r="B32">
        <v>162.09523809523807</v>
      </c>
    </row>
    <row r="33" spans="1:2">
      <c r="A33" s="14" t="s">
        <v>259</v>
      </c>
      <c r="B33">
        <v>596.32075471698101</v>
      </c>
    </row>
    <row r="34" spans="1:2">
      <c r="A34" s="14" t="s">
        <v>260</v>
      </c>
      <c r="B34">
        <v>83.774509803921575</v>
      </c>
    </row>
    <row r="35" spans="1:2">
      <c r="A35" s="14" t="s">
        <v>261</v>
      </c>
      <c r="B35">
        <v>243.69369369369366</v>
      </c>
    </row>
    <row r="36" spans="1:2">
      <c r="A36" s="14" t="s">
        <v>262</v>
      </c>
      <c r="B36">
        <v>149.94174757281556</v>
      </c>
    </row>
    <row r="37" spans="1:2">
      <c r="A37" s="14" t="s">
        <v>263</v>
      </c>
      <c r="B37">
        <v>114.9</v>
      </c>
    </row>
    <row r="38" spans="1:2">
      <c r="A38" s="14" t="s">
        <v>264</v>
      </c>
      <c r="B38">
        <v>757.117117117117</v>
      </c>
    </row>
    <row r="39" spans="1:2">
      <c r="A39" s="14" t="s">
        <v>265</v>
      </c>
      <c r="B39">
        <v>206</v>
      </c>
    </row>
    <row r="40" spans="1:2">
      <c r="A40" s="14" t="s">
        <v>266</v>
      </c>
      <c r="B40">
        <v>357.37864077669911</v>
      </c>
    </row>
    <row r="41" spans="1:2">
      <c r="A41" s="14" t="s">
        <v>267</v>
      </c>
      <c r="B41">
        <v>72.807692307692307</v>
      </c>
    </row>
    <row r="42" spans="1:2">
      <c r="A42" s="14" t="s">
        <v>233</v>
      </c>
      <c r="B42">
        <v>275.45454545454538</v>
      </c>
    </row>
    <row r="43" spans="1:2">
      <c r="A43" s="14" t="s">
        <v>269</v>
      </c>
      <c r="B43">
        <v>40.036036036036037</v>
      </c>
    </row>
    <row r="44" spans="1:2">
      <c r="A44" s="14" t="s">
        <v>270</v>
      </c>
      <c r="B44">
        <v>165.85436893203885</v>
      </c>
    </row>
    <row r="45" spans="1:2">
      <c r="A45" s="14" t="s">
        <v>271</v>
      </c>
      <c r="B45">
        <v>81.400000000000006</v>
      </c>
    </row>
    <row r="46" spans="1:2">
      <c r="A46" s="14" t="s">
        <v>272</v>
      </c>
      <c r="B46">
        <v>857.36538461538464</v>
      </c>
    </row>
    <row r="47" spans="1:2">
      <c r="A47" s="14" t="s">
        <v>273</v>
      </c>
      <c r="B47">
        <v>471.42857142857139</v>
      </c>
    </row>
    <row r="48" spans="1:2">
      <c r="A48" s="14" t="s">
        <v>274</v>
      </c>
      <c r="B48">
        <v>73.513513513513502</v>
      </c>
    </row>
    <row r="49" spans="1:2">
      <c r="A49" s="14" t="s">
        <v>275</v>
      </c>
      <c r="B49">
        <v>243.14285714285717</v>
      </c>
    </row>
    <row r="50" spans="1:2">
      <c r="A50" s="14" t="s">
        <v>276</v>
      </c>
      <c r="B50">
        <v>253.00000000000003</v>
      </c>
    </row>
    <row r="51" spans="1:2">
      <c r="A51" s="14" t="s">
        <v>277</v>
      </c>
      <c r="B51">
        <v>768.86915887850466</v>
      </c>
    </row>
    <row r="52" spans="1:2">
      <c r="A52" s="14" t="s">
        <v>278</v>
      </c>
      <c r="B52">
        <v>560.58095238095257</v>
      </c>
    </row>
    <row r="53" spans="1:2">
      <c r="A53" s="14" t="s">
        <v>279</v>
      </c>
      <c r="B53">
        <v>378.7</v>
      </c>
    </row>
    <row r="54" spans="1:2">
      <c r="A54" s="14" t="s">
        <v>280</v>
      </c>
      <c r="B54">
        <v>1315.6213592233009</v>
      </c>
    </row>
    <row r="55" spans="1:2">
      <c r="A55" s="14" t="s">
        <v>281</v>
      </c>
      <c r="B55">
        <v>300.92857142857144</v>
      </c>
    </row>
    <row r="56" spans="1:2">
      <c r="A56" s="14" t="s">
        <v>282</v>
      </c>
      <c r="B56">
        <v>243.14285714285717</v>
      </c>
    </row>
    <row r="57" spans="1:2">
      <c r="A57" s="14" t="s">
        <v>283</v>
      </c>
      <c r="B57">
        <v>41.924528301886802</v>
      </c>
    </row>
    <row r="58" spans="1:2">
      <c r="A58" s="14" t="s">
        <v>284</v>
      </c>
      <c r="B58">
        <v>113.1428571428571</v>
      </c>
    </row>
    <row r="59" spans="1:2">
      <c r="A59" s="14" t="s">
        <v>285</v>
      </c>
      <c r="B59">
        <v>3764.1388888888891</v>
      </c>
    </row>
    <row r="60" spans="1:2">
      <c r="A60" s="14" t="s">
        <v>234</v>
      </c>
      <c r="B60">
        <v>254.18181818181813</v>
      </c>
    </row>
    <row r="61" spans="1:2">
      <c r="A61" s="14" t="s">
        <v>286</v>
      </c>
      <c r="B61">
        <v>474.81481481481478</v>
      </c>
    </row>
    <row r="62" spans="1:2">
      <c r="A62" s="14" t="s">
        <v>287</v>
      </c>
      <c r="B62">
        <v>1452.1359223300972</v>
      </c>
    </row>
    <row r="63" spans="1:2">
      <c r="A63" s="14" t="s">
        <v>288</v>
      </c>
      <c r="B63">
        <v>399.70297029702954</v>
      </c>
    </row>
    <row r="64" spans="1:2">
      <c r="A64" s="14" t="s">
        <v>289</v>
      </c>
      <c r="B64">
        <v>252.8</v>
      </c>
    </row>
    <row r="65" spans="1:2">
      <c r="A65" s="14" t="s">
        <v>290</v>
      </c>
      <c r="B65">
        <v>3799.3177570093471</v>
      </c>
    </row>
    <row r="66" spans="1:2">
      <c r="A66" s="14" t="s">
        <v>291</v>
      </c>
      <c r="B66">
        <v>1212.851851851852</v>
      </c>
    </row>
    <row r="67" spans="1:2">
      <c r="A67" s="14" t="s">
        <v>292</v>
      </c>
      <c r="B67">
        <v>198.34951456310679</v>
      </c>
    </row>
    <row r="68" spans="1:2">
      <c r="A68" s="14" t="s">
        <v>293</v>
      </c>
      <c r="B68">
        <v>116.5454545454545</v>
      </c>
    </row>
    <row r="69" spans="1:2">
      <c r="A69" s="14" t="s">
        <v>294</v>
      </c>
      <c r="B69">
        <v>183.69369369369369</v>
      </c>
    </row>
    <row r="70" spans="1:2">
      <c r="A70" s="14" t="s">
        <v>295</v>
      </c>
      <c r="B70">
        <v>388.48214285714278</v>
      </c>
    </row>
    <row r="71" spans="1:2">
      <c r="A71" s="14" t="s">
        <v>296</v>
      </c>
      <c r="B71">
        <v>1180.0720720720722</v>
      </c>
    </row>
    <row r="72" spans="1:2">
      <c r="A72" s="14" t="s">
        <v>297</v>
      </c>
      <c r="B72">
        <v>55.480582524271853</v>
      </c>
    </row>
    <row r="73" spans="1:2">
      <c r="A73" s="14" t="s">
        <v>298</v>
      </c>
      <c r="B73">
        <v>127.07619047619048</v>
      </c>
    </row>
    <row r="74" spans="1:2">
      <c r="A74" s="14" t="s">
        <v>235</v>
      </c>
      <c r="B74">
        <v>111.22727272727272</v>
      </c>
    </row>
    <row r="75" spans="1:2">
      <c r="A75" s="14" t="s">
        <v>299</v>
      </c>
      <c r="B75">
        <v>42.238095238095241</v>
      </c>
    </row>
    <row r="76" spans="1:2">
      <c r="A76" s="14" t="s">
        <v>300</v>
      </c>
      <c r="B76">
        <v>918.10810810810801</v>
      </c>
    </row>
    <row r="77" spans="1:2">
      <c r="A77" s="14" t="s">
        <v>301</v>
      </c>
      <c r="B77">
        <v>120.37142857142858</v>
      </c>
    </row>
    <row r="78" spans="1:2">
      <c r="A78" s="14" t="s">
        <v>302</v>
      </c>
      <c r="B78">
        <v>42.32380952380953</v>
      </c>
    </row>
    <row r="79" spans="1:2">
      <c r="A79" s="14" t="s">
        <v>236</v>
      </c>
      <c r="B79">
        <v>2509.4259259259261</v>
      </c>
    </row>
    <row r="80" spans="1:2">
      <c r="A80" s="14" t="s">
        <v>303</v>
      </c>
      <c r="B80">
        <v>42.128712871287128</v>
      </c>
    </row>
    <row r="81" spans="1:2">
      <c r="A81" s="14" t="s">
        <v>304</v>
      </c>
      <c r="B81">
        <v>137.21495327102804</v>
      </c>
    </row>
    <row r="82" spans="1:2">
      <c r="A82" s="14" t="s">
        <v>305</v>
      </c>
      <c r="B82">
        <v>169.20792079207922</v>
      </c>
    </row>
    <row r="83" spans="1:2">
      <c r="A83" s="14" t="s">
        <v>306</v>
      </c>
      <c r="B83">
        <v>266.90909090909088</v>
      </c>
    </row>
    <row r="84" spans="1:2">
      <c r="A84" s="14" t="s">
        <v>307</v>
      </c>
      <c r="B84">
        <v>177.48571428571429</v>
      </c>
    </row>
    <row r="85" spans="1:2">
      <c r="A85" s="14" t="s">
        <v>230</v>
      </c>
      <c r="B85">
        <v>641.98095238095243</v>
      </c>
    </row>
    <row r="86" spans="1:2">
      <c r="A86" s="14" t="s">
        <v>308</v>
      </c>
      <c r="B86">
        <v>255.3267326732674</v>
      </c>
    </row>
    <row r="87" spans="1:2">
      <c r="A87" s="14" t="s">
        <v>309</v>
      </c>
      <c r="B87">
        <v>50.628571428571433</v>
      </c>
    </row>
    <row r="88" spans="1:2">
      <c r="A88" s="14" t="s">
        <v>311</v>
      </c>
      <c r="B88">
        <v>699.18181818181802</v>
      </c>
    </row>
    <row r="89" spans="1:2">
      <c r="A89" s="14" t="s">
        <v>312</v>
      </c>
      <c r="B89">
        <v>181.76699029126212</v>
      </c>
    </row>
    <row r="90" spans="1:2">
      <c r="A90" s="14" t="s">
        <v>238</v>
      </c>
      <c r="B90">
        <v>131.31428571428569</v>
      </c>
    </row>
    <row r="91" spans="1:2">
      <c r="A91" s="14" t="s">
        <v>239</v>
      </c>
      <c r="B91">
        <v>36.72727272727272</v>
      </c>
    </row>
    <row r="92" spans="1:2">
      <c r="A92" s="14" t="s">
        <v>313</v>
      </c>
      <c r="B92">
        <v>116.13881401617249</v>
      </c>
    </row>
    <row r="93" spans="1:2">
      <c r="A93" s="14" t="s">
        <v>240</v>
      </c>
      <c r="B93">
        <v>80.792079207920793</v>
      </c>
    </row>
    <row r="94" spans="1:2">
      <c r="A94" s="14" t="s">
        <v>314</v>
      </c>
      <c r="B94">
        <v>79.44805194805194</v>
      </c>
    </row>
    <row r="95" spans="1:2">
      <c r="A95" s="14" t="s">
        <v>241</v>
      </c>
      <c r="B95">
        <v>107.37864077669902</v>
      </c>
    </row>
    <row r="96" spans="1:2">
      <c r="A96" s="14" t="s">
        <v>242</v>
      </c>
      <c r="B96">
        <v>41.532710280373827</v>
      </c>
    </row>
    <row r="97" spans="1:2">
      <c r="A97" s="14" t="s">
        <v>243</v>
      </c>
      <c r="B97">
        <v>238.5981308411215</v>
      </c>
    </row>
    <row r="98" spans="1:2">
      <c r="A98" s="14" t="s">
        <v>244</v>
      </c>
      <c r="B98">
        <v>573</v>
      </c>
    </row>
    <row r="99" spans="1:2">
      <c r="A99" s="14" t="s">
        <v>315</v>
      </c>
      <c r="B99">
        <v>168.57142857142858</v>
      </c>
    </row>
    <row r="100" spans="1:2">
      <c r="A100" s="14" t="s">
        <v>316</v>
      </c>
      <c r="B100">
        <v>84.257425742574256</v>
      </c>
    </row>
    <row r="101" spans="1:2">
      <c r="A101" s="14" t="s">
        <v>317</v>
      </c>
      <c r="B101">
        <v>68.716931216931215</v>
      </c>
    </row>
    <row r="102" spans="1:2">
      <c r="A102" s="14" t="s">
        <v>245</v>
      </c>
      <c r="B102">
        <v>113.6936936936937</v>
      </c>
    </row>
    <row r="103" spans="1:2">
      <c r="A103" s="14" t="s">
        <v>318</v>
      </c>
      <c r="B103">
        <v>204.3</v>
      </c>
    </row>
    <row r="104" spans="1:2">
      <c r="A104" s="14" t="s">
        <v>231</v>
      </c>
      <c r="B104">
        <v>154.72727272727269</v>
      </c>
    </row>
    <row r="105" spans="1:2">
      <c r="A105" s="14" t="s">
        <v>319</v>
      </c>
      <c r="B105">
        <v>74.112149532710276</v>
      </c>
    </row>
    <row r="106" spans="1:2">
      <c r="A106" s="14" t="s">
        <v>246</v>
      </c>
      <c r="B106">
        <v>1488.5</v>
      </c>
    </row>
    <row r="107" spans="1:2">
      <c r="A107" s="14" t="s">
        <v>320</v>
      </c>
      <c r="B107">
        <v>953.79611650485458</v>
      </c>
    </row>
    <row r="108" spans="1:2">
      <c r="A108" s="14" t="s">
        <v>247</v>
      </c>
      <c r="B108">
        <v>1448.4615384615386</v>
      </c>
    </row>
    <row r="109" spans="1:2">
      <c r="A109" s="14" t="s">
        <v>248</v>
      </c>
      <c r="B109">
        <v>72.570093457943926</v>
      </c>
    </row>
    <row r="110" spans="1:2">
      <c r="A110" s="14" t="s">
        <v>321</v>
      </c>
      <c r="B110">
        <v>24.666666666666671</v>
      </c>
    </row>
    <row r="111" spans="1:2">
      <c r="A111" s="14" t="s">
        <v>232</v>
      </c>
      <c r="B111">
        <v>74.181818181818173</v>
      </c>
    </row>
    <row r="112" spans="1:2">
      <c r="A112" s="14" t="s">
        <v>322</v>
      </c>
      <c r="B112">
        <v>261.33009708737859</v>
      </c>
    </row>
    <row r="113" spans="1:2">
      <c r="A113" s="14" t="s">
        <v>324</v>
      </c>
      <c r="B113">
        <v>405.38235294117652</v>
      </c>
    </row>
    <row r="114" spans="1:2">
      <c r="A114" s="14" t="s">
        <v>360</v>
      </c>
      <c r="B114">
        <v>48863.421504745682</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1A2ED-314F-49AA-8F9B-C64764E7BA6E}">
  <dimension ref="A3:B9"/>
  <sheetViews>
    <sheetView zoomScale="76" workbookViewId="0"/>
  </sheetViews>
  <sheetFormatPr defaultRowHeight="14.5"/>
  <cols>
    <col min="1" max="1" width="14.26953125" bestFit="1" customWidth="1"/>
    <col min="2" max="2" width="17" bestFit="1" customWidth="1"/>
  </cols>
  <sheetData>
    <row r="3" spans="1:2">
      <c r="A3" s="12" t="s">
        <v>359</v>
      </c>
      <c r="B3" t="s">
        <v>363</v>
      </c>
    </row>
    <row r="4" spans="1:2">
      <c r="A4" s="14" t="s">
        <v>6</v>
      </c>
      <c r="B4">
        <v>1632.5602891270003</v>
      </c>
    </row>
    <row r="5" spans="1:2">
      <c r="A5" s="14" t="s">
        <v>5</v>
      </c>
      <c r="B5">
        <v>2421.215989451</v>
      </c>
    </row>
    <row r="6" spans="1:2">
      <c r="A6" s="14" t="s">
        <v>4</v>
      </c>
      <c r="B6">
        <v>5284.5541495800007</v>
      </c>
    </row>
    <row r="7" spans="1:2">
      <c r="A7" s="14" t="s">
        <v>3</v>
      </c>
      <c r="B7">
        <v>2067.3794902830005</v>
      </c>
    </row>
    <row r="8" spans="1:2">
      <c r="A8" s="14" t="s">
        <v>2</v>
      </c>
      <c r="B8">
        <v>4060.2434544729999</v>
      </c>
    </row>
    <row r="9" spans="1:2">
      <c r="A9" s="14" t="s">
        <v>360</v>
      </c>
      <c r="B9">
        <v>15465.953372913993</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938CB-E429-4666-8E9E-8CC24EE6E5DD}">
  <dimension ref="A1"/>
  <sheetViews>
    <sheetView tabSelected="1" zoomScale="26" zoomScaleNormal="72" workbookViewId="0"/>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2C28B1-0AAC-47A6-B530-7928A48A98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inventory datas</vt:lpstr>
      <vt:lpstr>TOTAL SALES (ytd)mtd,qtd</vt:lpstr>
      <vt:lpstr>2store wise sales</vt:lpstr>
      <vt:lpstr>10region wise sales</vt:lpstr>
      <vt:lpstr>3sales growth</vt:lpstr>
      <vt:lpstr>4daily sales trend</vt:lpstr>
      <vt:lpstr>5brand wise sales</vt:lpstr>
      <vt:lpstr>6Gross profit</vt:lpstr>
      <vt:lpstr>11 total profit region</vt:lpstr>
      <vt:lpstr>11 profit margin</vt:lpstr>
      <vt:lpstr>11uniique order region</vt:lpstr>
      <vt:lpstr>7product in inventory</vt:lpstr>
      <vt:lpstr>Out of Stock 8</vt:lpstr>
      <vt:lpstr>9inventory value</vt:lpstr>
      <vt:lpstr>12 total profit by region</vt:lpstr>
      <vt:lpstr>FINAL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Ameer Sheik</dc:creator>
  <cp:lastModifiedBy>sundarsi2319@gmail.com</cp:lastModifiedBy>
  <dcterms:created xsi:type="dcterms:W3CDTF">2025-12-29T18:51:24Z</dcterms:created>
  <dcterms:modified xsi:type="dcterms:W3CDTF">2026-04-08T05:13:39Z</dcterms:modified>
</cp:coreProperties>
</file>